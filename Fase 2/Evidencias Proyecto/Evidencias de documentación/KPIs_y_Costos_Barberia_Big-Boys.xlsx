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Abono_ROI" sheetId="3" state="visible" r:id="rId3"/>
    <sheet xmlns:r="http://schemas.openxmlformats.org/officeDocument/2006/relationships" name="Sensibilidad" sheetId="4" state="visible" r:id="rId4"/>
    <sheet xmlns:r="http://schemas.openxmlformats.org/officeDocument/2006/relationships" name="Servicios" sheetId="5" state="visible" r:id="rId5"/>
    <sheet xmlns:r="http://schemas.openxmlformats.org/officeDocument/2006/relationships" name="Ley_21719" sheetId="6" state="visible" r:id="rId6"/>
    <sheet xmlns:r="http://schemas.openxmlformats.org/officeDocument/2006/relationships" name="Costos_Cloud" sheetId="7" state="visible" r:id="rId7"/>
    <sheet xmlns:r="http://schemas.openxmlformats.org/officeDocument/2006/relationships" name="Resumen_Cloud" sheetId="8" state="visible" r:id="rId8"/>
    <sheet xmlns:r="http://schemas.openxmlformats.org/officeDocument/2006/relationships" name="Referencias" sheetId="9" state="visible" r:id="rId9"/>
  </sheets>
  <definedNames>
    <definedName name="dias_op">Supuestos!$C$5</definedName>
    <definedName name="dias_peak">Supuestos!$C$6</definedName>
    <definedName name="f_dem">Supuestos!$C$7</definedName>
    <definedName name="f_perd">Supuestos!$C$8</definedName>
    <definedName name="sem_mes">Supuestos!$C$9</definedName>
    <definedName name="sem_anio">Supuestos!$C$10</definedName>
    <definedName name="ticket">Supuestos!$C$11</definedName>
    <definedName name="margen">Supuestos!$C$12</definedName>
    <definedName name="adopcion">Supuestos!$C$13</definedName>
    <definedName name="noshow_con">Supuestos!$C$14</definedName>
    <definedName name="noshow_sin">Supuestos!$C$15</definedName>
    <definedName name="mix_debito">Supuestos!$C$16</definedName>
    <definedName name="horas">Supuestos!$C$17</definedName>
    <definedName name="valor_hora">Supuestos!$C$18</definedName>
    <definedName name="abono">Supuestos!$C$19</definedName>
    <definedName name="uf">Supuestos!$C$20</definedName>
    <definedName name="usd">Supuestos!$C$21</definedName>
    <definedName name="utm">Supuestos!$C$22</definedName>
    <definedName name="dominio">Supuestos!$C$23</definedName>
    <definedName name="wp_deb">Supuestos!$C$24</definedName>
    <definedName name="wp_cre">Supuestos!$C$25</definedName>
    <definedName name="wp_min_deb">Supuestos!$C$26</definedName>
    <definedName name="wp_min_cre">Supuestos!$C$27</definedName>
    <definedName name="mp_pct">Supuestos!$C$28</definedName>
    <definedName name="iva">Supuestos!$C$29</definedName>
    <definedName name="opex">Supuestos!$C$30</definedName>
    <definedName name="com_mix">Abono_ROI!$B$6</definedName>
    <definedName name="inversion">Abono_ROI!$B$8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&quot;$&quot;#,##0"/>
    <numFmt numFmtId="166" formatCode="&quot;$&quot;#,##0.00"/>
    <numFmt numFmtId="167" formatCode="0.000000"/>
    <numFmt numFmtId="168" formatCode="0.0"/>
    <numFmt numFmtId="169" formatCode="#,##0.0"/>
    <numFmt numFmtId="170" formatCode="&quot;$&quot;#,##0.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D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0" fontId="2" fillId="3" borderId="1" pivotButton="0" quotePrefix="0" xfId="0"/>
    <xf numFmtId="167" fontId="2" fillId="3" borderId="1" pivotButton="0" quotePrefix="0" xfId="0"/>
    <xf numFmtId="164" fontId="2" fillId="0" borderId="1" pivotButton="0" quotePrefix="0" xfId="0"/>
    <xf numFmtId="168" fontId="2" fillId="0" borderId="1" pivotButton="0" quotePrefix="0" xfId="0"/>
    <xf numFmtId="169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0" fontId="4" fillId="4" borderId="1" pivotButton="0" quotePrefix="0" xfId="0"/>
    <xf numFmtId="0" fontId="2" fillId="4" borderId="1" pivotButton="0" quotePrefix="0" xfId="0"/>
    <xf numFmtId="164" fontId="2" fillId="4" borderId="1" pivotButton="0" quotePrefix="0" xfId="0"/>
    <xf numFmtId="168" fontId="2" fillId="4" borderId="1" pivotButton="0" quotePrefix="0" xfId="0"/>
    <xf numFmtId="169" fontId="2" fillId="4" borderId="1" pivotButton="0" quotePrefix="0" xfId="0"/>
    <xf numFmtId="165" fontId="2" fillId="4" borderId="1" pivotButton="0" quotePrefix="0" xfId="0"/>
    <xf numFmtId="3" fontId="2" fillId="4" borderId="1" pivotButton="0" quotePrefix="0" xfId="0"/>
    <xf numFmtId="0" fontId="5" fillId="0" borderId="0" pivotButton="0" quotePrefix="0" xfId="0"/>
    <xf numFmtId="3" fontId="0" fillId="0" borderId="0" pivotButton="0" quotePrefix="0" xfId="0"/>
    <xf numFmtId="170" fontId="2" fillId="0" borderId="1" pivotButton="0" quotePrefix="0" xfId="0"/>
    <xf numFmtId="0" fontId="4" fillId="0" borderId="1" pivotButton="0" quotePrefix="0" xfId="0"/>
    <xf numFmtId="9" fontId="2" fillId="4" borderId="1" pivotButton="0" quotePrefix="0" xfId="0"/>
    <xf numFmtId="9" fontId="2" fillId="0" borderId="1" pivotButton="0" quotePrefix="0" xfId="0"/>
    <xf numFmtId="3" fontId="2" fillId="3" borderId="1" pivotButton="0" quotePrefix="0" xfId="0"/>
    <xf numFmtId="2" fontId="2" fillId="4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6" customWidth="1" min="3" max="3"/>
    <col width="38" customWidth="1" min="4" max="4"/>
  </cols>
  <sheetData>
    <row r="1">
      <c r="A1" s="1" t="inlineStr">
        <is>
          <t>Proyecto Barbería Big-Boys — Supuestos y parámetros (celdas amarillas editables)</t>
        </is>
      </c>
    </row>
    <row r="2">
      <c r="A2" s="2" t="inlineStr">
        <is>
          <t>Consulta de valores externos: 09-10-2026. Todo supuesto está marcado para validación.</t>
        </is>
      </c>
    </row>
    <row r="4">
      <c r="A4" s="3" t="inlineStr">
        <is>
          <t>ID</t>
        </is>
      </c>
      <c r="B4" s="3" t="inlineStr">
        <is>
          <t>Parámetro</t>
        </is>
      </c>
      <c r="C4" s="3" t="inlineStr">
        <is>
          <t>Valor</t>
        </is>
      </c>
      <c r="D4" s="3" t="inlineStr">
        <is>
          <t>Fuente / estado</t>
        </is>
      </c>
    </row>
    <row r="5">
      <c r="A5" s="4" t="inlineStr">
        <is>
          <t>S-02</t>
        </is>
      </c>
      <c r="B5" s="4" t="inlineStr">
        <is>
          <t>Días de operación por semana</t>
        </is>
      </c>
      <c r="C5" s="5" t="n">
        <v>6</v>
      </c>
      <c r="D5" s="4" t="inlineStr">
        <is>
          <t>Supuesto — por validar</t>
        </is>
      </c>
    </row>
    <row r="6">
      <c r="A6" s="4" t="inlineStr">
        <is>
          <t>S-03</t>
        </is>
      </c>
      <c r="B6" s="4" t="inlineStr">
        <is>
          <t>Días peak por semana (viernes y sábado)</t>
        </is>
      </c>
      <c r="C6" s="5" t="n">
        <v>2</v>
      </c>
      <c r="D6" s="4" t="inlineStr">
        <is>
          <t>Supuesto — por validar</t>
        </is>
      </c>
    </row>
    <row r="7">
      <c r="A7" s="4" t="inlineStr">
        <is>
          <t>S-04</t>
        </is>
      </c>
      <c r="B7" s="4" t="inlineStr">
        <is>
          <t>Factor de demanda día normal / peak</t>
        </is>
      </c>
      <c r="C7" s="6" t="n">
        <v>0.6</v>
      </c>
      <c r="D7" s="4" t="inlineStr">
        <is>
          <t>Supuesto — por validar</t>
        </is>
      </c>
    </row>
    <row r="8">
      <c r="A8" s="4" t="inlineStr">
        <is>
          <t>S-05</t>
        </is>
      </c>
      <c r="B8" s="4" t="inlineStr">
        <is>
          <t>Factor de abandono día normal / peak</t>
        </is>
      </c>
      <c r="C8" s="6" t="n">
        <v>0.3</v>
      </c>
      <c r="D8" s="4" t="inlineStr">
        <is>
          <t>Supuesto — por validar</t>
        </is>
      </c>
    </row>
    <row r="9">
      <c r="A9" s="4" t="inlineStr">
        <is>
          <t>S-06</t>
        </is>
      </c>
      <c r="B9" s="4" t="inlineStr">
        <is>
          <t>Semanas por mes</t>
        </is>
      </c>
      <c r="C9" s="7">
        <f>52/12</f>
        <v/>
      </c>
      <c r="D9" s="4" t="inlineStr">
        <is>
          <t>52/12</t>
        </is>
      </c>
    </row>
    <row r="10">
      <c r="A10" s="4" t="inlineStr">
        <is>
          <t>S-06</t>
        </is>
      </c>
      <c r="B10" s="4" t="inlineStr">
        <is>
          <t>Semanas por año</t>
        </is>
      </c>
      <c r="C10" s="5" t="n">
        <v>52</v>
      </c>
      <c r="D10" s="4" t="inlineStr">
        <is>
          <t>Sin descontar feriados</t>
        </is>
      </c>
    </row>
    <row r="11">
      <c r="A11" s="4" t="inlineStr">
        <is>
          <t>S-07</t>
        </is>
      </c>
      <c r="B11" s="4" t="inlineStr">
        <is>
          <t>Precio del corte (valor oficial de la pérdida)</t>
        </is>
      </c>
      <c r="C11" s="8" t="n">
        <v>11900</v>
      </c>
      <c r="D11" s="4" t="inlineStr">
        <is>
          <t>Precio real del negocio</t>
        </is>
      </c>
    </row>
    <row r="12">
      <c r="A12" s="4" t="inlineStr">
        <is>
          <t>S-08</t>
        </is>
      </c>
      <c r="B12" s="4" t="inlineStr">
        <is>
          <t>Margen de contribución</t>
        </is>
      </c>
      <c r="C12" s="6" t="n">
        <v>0.5</v>
      </c>
      <c r="D12" s="4" t="inlineStr">
        <is>
          <t>Supuesto — por validar</t>
        </is>
      </c>
    </row>
    <row r="13">
      <c r="A13" s="4" t="inlineStr">
        <is>
          <t>S-09</t>
        </is>
      </c>
      <c r="B13" s="4" t="inlineStr">
        <is>
          <t>Adopción de reserva online</t>
        </is>
      </c>
      <c r="C13" s="6" t="n">
        <v>0.3</v>
      </c>
      <c r="D13" s="4" t="inlineStr">
        <is>
          <t>Supuesto — por validar</t>
        </is>
      </c>
    </row>
    <row r="14">
      <c r="A14" s="4" t="inlineStr">
        <is>
          <t>S-10</t>
        </is>
      </c>
      <c r="B14" s="4" t="inlineStr">
        <is>
          <t>No-show con abono (incluye anulación &lt; 24 h)</t>
        </is>
      </c>
      <c r="C14" s="6" t="n">
        <v>0.05</v>
      </c>
      <c r="D14" s="4" t="inlineStr">
        <is>
          <t>Supuesto — por validar</t>
        </is>
      </c>
    </row>
    <row r="15">
      <c r="A15" s="4" t="inlineStr">
        <is>
          <t>S-10</t>
        </is>
      </c>
      <c r="B15" s="4" t="inlineStr">
        <is>
          <t>No-show referencial sin abono</t>
        </is>
      </c>
      <c r="C15" s="6" t="n">
        <v>0.15</v>
      </c>
      <c r="D15" s="4" t="inlineStr">
        <is>
          <t>Supuesto — por validar</t>
        </is>
      </c>
    </row>
    <row r="16">
      <c r="A16" s="4" t="inlineStr">
        <is>
          <t>S-11</t>
        </is>
      </c>
      <c r="B16" s="4" t="inlineStr">
        <is>
          <t>% abonos con débito/prepago</t>
        </is>
      </c>
      <c r="C16" s="6" t="n">
        <v>0.6</v>
      </c>
      <c r="D16" s="4" t="inlineStr">
        <is>
          <t>Supuesto — por validar</t>
        </is>
      </c>
    </row>
    <row r="17">
      <c r="A17" s="4" t="inlineStr">
        <is>
          <t>S-12</t>
        </is>
      </c>
      <c r="B17" s="4" t="inlineStr">
        <is>
          <t>Horas del equipo</t>
        </is>
      </c>
      <c r="C17" s="5" t="n">
        <v>312</v>
      </c>
      <c r="D17" s="4" t="inlineStr">
        <is>
          <t>EDT (documento 06)</t>
        </is>
      </c>
    </row>
    <row r="18">
      <c r="A18" s="4" t="inlineStr">
        <is>
          <t>S-12</t>
        </is>
      </c>
      <c r="B18" s="4" t="inlineStr">
        <is>
          <t>Valor hora (CLP)</t>
        </is>
      </c>
      <c r="C18" s="8" t="n">
        <v>6111</v>
      </c>
      <c r="D18" s="4" t="inlineStr">
        <is>
          <t>Sueldo junior $1.100.000 / 180 h</t>
        </is>
      </c>
    </row>
    <row r="19">
      <c r="A19" s="4" t="inlineStr">
        <is>
          <t>—</t>
        </is>
      </c>
      <c r="B19" s="4" t="inlineStr">
        <is>
          <t>Abono de reserva (CLP)</t>
        </is>
      </c>
      <c r="C19" s="8" t="n">
        <v>3000</v>
      </c>
      <c r="D19" s="4" t="inlineStr">
        <is>
          <t>Definido por el negocio</t>
        </is>
      </c>
    </row>
    <row r="20">
      <c r="A20" s="4" t="inlineStr">
        <is>
          <t>—</t>
        </is>
      </c>
      <c r="B20" s="4" t="inlineStr">
        <is>
          <t>UF (06-10-2026)</t>
        </is>
      </c>
      <c r="C20" s="9" t="n">
        <v>41106.35</v>
      </c>
      <c r="D20" s="4" t="inlineStr">
        <is>
          <t>Pauta.cl</t>
        </is>
      </c>
    </row>
    <row r="21">
      <c r="A21" s="4" t="inlineStr">
        <is>
          <t>—</t>
        </is>
      </c>
      <c r="B21" s="4" t="inlineStr">
        <is>
          <t>Dólar observado (01-10-2026)</t>
        </is>
      </c>
      <c r="C21" s="9" t="n">
        <v>972.6</v>
      </c>
      <c r="D21" s="4" t="inlineStr">
        <is>
          <t>SII</t>
        </is>
      </c>
    </row>
    <row r="22">
      <c r="A22" s="4" t="inlineStr">
        <is>
          <t>—</t>
        </is>
      </c>
      <c r="B22" s="4" t="inlineStr">
        <is>
          <t>UTM octubre 2026</t>
        </is>
      </c>
      <c r="C22" s="8" t="n">
        <v>72151</v>
      </c>
      <c r="D22" s="4" t="inlineStr">
        <is>
          <t>SII</t>
        </is>
      </c>
    </row>
    <row r="23">
      <c r="A23" s="4" t="inlineStr">
        <is>
          <t>—</t>
        </is>
      </c>
      <c r="B23" s="4" t="inlineStr">
        <is>
          <t>Dominio .cl anual</t>
        </is>
      </c>
      <c r="C23" s="8" t="n">
        <v>9990</v>
      </c>
      <c r="D23" s="4" t="inlineStr">
        <is>
          <t>NIC Chile</t>
        </is>
      </c>
    </row>
    <row r="24">
      <c r="A24" s="4" t="inlineStr">
        <is>
          <t>—</t>
        </is>
      </c>
      <c r="B24" s="4" t="inlineStr">
        <is>
          <t>Webpay débito %</t>
        </is>
      </c>
      <c r="C24" s="10" t="n">
        <v>0.0175</v>
      </c>
      <c r="D24" s="4" t="inlineStr">
        <is>
          <t>Transbank</t>
        </is>
      </c>
    </row>
    <row r="25">
      <c r="A25" s="4" t="inlineStr">
        <is>
          <t>—</t>
        </is>
      </c>
      <c r="B25" s="4" t="inlineStr">
        <is>
          <t>Webpay crédito %</t>
        </is>
      </c>
      <c r="C25" s="10" t="n">
        <v>0.0235</v>
      </c>
      <c r="D25" s="4" t="inlineStr">
        <is>
          <t>Transbank</t>
        </is>
      </c>
    </row>
    <row r="26">
      <c r="A26" s="4" t="inlineStr">
        <is>
          <t>—</t>
        </is>
      </c>
      <c r="B26" s="4" t="inlineStr">
        <is>
          <t>Webpay mínimo débito (UF)</t>
        </is>
      </c>
      <c r="C26" s="11" t="n">
        <v>0.00226</v>
      </c>
      <c r="D26" s="4" t="inlineStr">
        <is>
          <t>Transbank</t>
        </is>
      </c>
    </row>
    <row r="27">
      <c r="A27" s="4" t="inlineStr">
        <is>
          <t>—</t>
        </is>
      </c>
      <c r="B27" s="4" t="inlineStr">
        <is>
          <t>Webpay mínimo crédito (UF)</t>
        </is>
      </c>
      <c r="C27" s="11" t="n">
        <v>0.003515</v>
      </c>
      <c r="D27" s="4" t="inlineStr">
        <is>
          <t>Transbank</t>
        </is>
      </c>
    </row>
    <row r="28">
      <c r="A28" s="4" t="inlineStr">
        <is>
          <t>—</t>
        </is>
      </c>
      <c r="B28" s="4" t="inlineStr">
        <is>
          <t>Mercado Pago % (al instante)</t>
        </is>
      </c>
      <c r="C28" s="10" t="n">
        <v>0.0319</v>
      </c>
      <c r="D28" s="4" t="inlineStr">
        <is>
          <t>3,19% + IVA</t>
        </is>
      </c>
    </row>
    <row r="29">
      <c r="A29" s="4" t="inlineStr">
        <is>
          <t>—</t>
        </is>
      </c>
      <c r="B29" s="4" t="inlineStr">
        <is>
          <t>IVA</t>
        </is>
      </c>
      <c r="C29" s="6" t="n">
        <v>0.19</v>
      </c>
      <c r="D29" s="4" t="inlineStr">
        <is>
          <t>Ley IVA</t>
        </is>
      </c>
    </row>
    <row r="30">
      <c r="A30" s="4" t="inlineStr">
        <is>
          <t>—</t>
        </is>
      </c>
      <c r="B30" s="4" t="inlineStr">
        <is>
          <t>Costo operativo anual (VPS + dominio)</t>
        </is>
      </c>
      <c r="C30" s="8">
        <f>19900*12+dominio</f>
        <v/>
      </c>
      <c r="D30" s="4" t="inlineStr">
        <is>
          <t>V2Networks Cloud-1 (IVA incl.)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KPIs por sucursal — situación actual y proyección (día peak + días normales)</t>
        </is>
      </c>
    </row>
    <row r="3" ht="42" customHeight="1">
      <c r="A3" s="3" t="inlineStr">
        <is>
          <t>Sucursal</t>
        </is>
      </c>
      <c r="B3" s="3" t="inlineStr">
        <is>
          <t>Atendidos/día peak</t>
        </is>
      </c>
      <c r="C3" s="3" t="inlineStr">
        <is>
          <t>Se van/día peak</t>
        </is>
      </c>
      <c r="D3" s="3" t="inlineStr">
        <is>
          <t>Demanda</t>
        </is>
      </c>
      <c r="E3" s="3" t="inlineStr">
        <is>
          <t>Tasa de atención</t>
        </is>
      </c>
      <c r="F3" s="3" t="inlineStr">
        <is>
          <t>% pérdida</t>
        </is>
      </c>
      <c r="G3" s="3" t="inlineStr">
        <is>
          <t>Perdidos/semana</t>
        </is>
      </c>
      <c r="H3" s="3" t="inlineStr">
        <is>
          <t>Perdidos/mes</t>
        </is>
      </c>
      <c r="I3" s="3" t="inlineStr">
        <is>
          <t>Perdidos/año</t>
        </is>
      </c>
      <c r="J3" s="3" t="inlineStr">
        <is>
          <t>Ingreso perdido/mes</t>
        </is>
      </c>
      <c r="K3" s="3" t="inlineStr">
        <is>
          <t>Ingreso perdido/año</t>
        </is>
      </c>
      <c r="L3" s="3" t="inlineStr">
        <is>
          <t>Recuperados/año 30%</t>
        </is>
      </c>
      <c r="M3" s="3" t="inlineStr">
        <is>
          <t>Pérdida evitada 30%</t>
        </is>
      </c>
      <c r="N3" s="3" t="inlineStr">
        <is>
          <t>Recuperados/año 50%</t>
        </is>
      </c>
      <c r="O3" s="3" t="inlineStr">
        <is>
          <t>Pérdida evitada 50%</t>
        </is>
      </c>
      <c r="P3" s="3" t="inlineStr">
        <is>
          <t>Recuperados/año 70%</t>
        </is>
      </c>
      <c r="Q3" s="3" t="inlineStr">
        <is>
          <t>Pérdida evitada 70%</t>
        </is>
      </c>
    </row>
    <row r="4">
      <c r="A4" s="4" t="inlineStr">
        <is>
          <t>Peñaflor – Sucursal 21 de Mayo</t>
        </is>
      </c>
      <c r="B4" s="5" t="n">
        <v>70</v>
      </c>
      <c r="C4" s="5" t="n">
        <v>12</v>
      </c>
      <c r="D4" s="4">
        <f>B4+C4</f>
        <v/>
      </c>
      <c r="E4" s="12">
        <f>B4/D4</f>
        <v/>
      </c>
      <c r="F4" s="12">
        <f>C4/D4</f>
        <v/>
      </c>
      <c r="G4" s="13">
        <f>C4*dias_peak+C4*f_perd*(dias_op-dias_peak)</f>
        <v/>
      </c>
      <c r="H4" s="13">
        <f>G4*sem_mes</f>
        <v/>
      </c>
      <c r="I4" s="14">
        <f>G4*sem_anio</f>
        <v/>
      </c>
      <c r="J4" s="15">
        <f>H4*ticket</f>
        <v/>
      </c>
      <c r="K4" s="15">
        <f>I4*ticket</f>
        <v/>
      </c>
      <c r="L4" s="16">
        <f>I4*0.3</f>
        <v/>
      </c>
      <c r="M4" s="15">
        <f>I4*0.3*ticket</f>
        <v/>
      </c>
      <c r="N4" s="16">
        <f>I4*0.5</f>
        <v/>
      </c>
      <c r="O4" s="15">
        <f>I4*0.5*ticket</f>
        <v/>
      </c>
      <c r="P4" s="16">
        <f>I4*0.7</f>
        <v/>
      </c>
      <c r="Q4" s="15">
        <f>I4*0.7*ticket</f>
        <v/>
      </c>
    </row>
    <row r="5">
      <c r="A5" s="4" t="inlineStr">
        <is>
          <t>Peñaflor – Sucursal Alcalde Luis Araya Cereceda</t>
        </is>
      </c>
      <c r="B5" s="5" t="n">
        <v>30</v>
      </c>
      <c r="C5" s="5" t="n">
        <v>7</v>
      </c>
      <c r="D5" s="4">
        <f>B5+C5</f>
        <v/>
      </c>
      <c r="E5" s="12">
        <f>B5/D5</f>
        <v/>
      </c>
      <c r="F5" s="12">
        <f>C5/D5</f>
        <v/>
      </c>
      <c r="G5" s="13">
        <f>C5*dias_peak+C5*f_perd*(dias_op-dias_peak)</f>
        <v/>
      </c>
      <c r="H5" s="13">
        <f>G5*sem_mes</f>
        <v/>
      </c>
      <c r="I5" s="14">
        <f>G5*sem_anio</f>
        <v/>
      </c>
      <c r="J5" s="15">
        <f>H5*ticket</f>
        <v/>
      </c>
      <c r="K5" s="15">
        <f>I5*ticket</f>
        <v/>
      </c>
      <c r="L5" s="16">
        <f>I5*0.3</f>
        <v/>
      </c>
      <c r="M5" s="15">
        <f>I5*0.3*ticket</f>
        <v/>
      </c>
      <c r="N5" s="16">
        <f>I5*0.5</f>
        <v/>
      </c>
      <c r="O5" s="15">
        <f>I5*0.5*ticket</f>
        <v/>
      </c>
      <c r="P5" s="16">
        <f>I5*0.7</f>
        <v/>
      </c>
      <c r="Q5" s="15">
        <f>I5*0.7*ticket</f>
        <v/>
      </c>
    </row>
    <row r="6">
      <c r="A6" s="17" t="inlineStr">
        <is>
          <t>Subtotal Peñaflor</t>
        </is>
      </c>
      <c r="B6" s="18">
        <f>B4+B5</f>
        <v/>
      </c>
      <c r="C6" s="18">
        <f>C4+C5</f>
        <v/>
      </c>
      <c r="D6" s="18">
        <f>B6+C6</f>
        <v/>
      </c>
      <c r="E6" s="19">
        <f>B6/D6</f>
        <v/>
      </c>
      <c r="F6" s="19">
        <f>C6/D6</f>
        <v/>
      </c>
      <c r="G6" s="20">
        <f>C6*dias_peak+C6*f_perd*(dias_op-dias_peak)</f>
        <v/>
      </c>
      <c r="H6" s="20">
        <f>G6*sem_mes</f>
        <v/>
      </c>
      <c r="I6" s="21">
        <f>G6*sem_anio</f>
        <v/>
      </c>
      <c r="J6" s="22">
        <f>H6*ticket</f>
        <v/>
      </c>
      <c r="K6" s="22">
        <f>I6*ticket</f>
        <v/>
      </c>
      <c r="L6" s="23">
        <f>I6*0.3</f>
        <v/>
      </c>
      <c r="M6" s="22">
        <f>I6*0.3*ticket</f>
        <v/>
      </c>
      <c r="N6" s="23">
        <f>I6*0.5</f>
        <v/>
      </c>
      <c r="O6" s="22">
        <f>I6*0.5*ticket</f>
        <v/>
      </c>
      <c r="P6" s="23">
        <f>I6*0.7</f>
        <v/>
      </c>
      <c r="Q6" s="22">
        <f>I6*0.7*ticket</f>
        <v/>
      </c>
    </row>
    <row r="7">
      <c r="A7" s="4" t="inlineStr">
        <is>
          <t>Talagante</t>
        </is>
      </c>
      <c r="B7" s="5" t="n">
        <v>30</v>
      </c>
      <c r="C7" s="5" t="n">
        <v>7</v>
      </c>
      <c r="D7" s="4">
        <f>B7+C7</f>
        <v/>
      </c>
      <c r="E7" s="12">
        <f>B7/D7</f>
        <v/>
      </c>
      <c r="F7" s="12">
        <f>C7/D7</f>
        <v/>
      </c>
      <c r="G7" s="13">
        <f>C7*dias_peak+C7*f_perd*(dias_op-dias_peak)</f>
        <v/>
      </c>
      <c r="H7" s="13">
        <f>G7*sem_mes</f>
        <v/>
      </c>
      <c r="I7" s="14">
        <f>G7*sem_anio</f>
        <v/>
      </c>
      <c r="J7" s="15">
        <f>H7*ticket</f>
        <v/>
      </c>
      <c r="K7" s="15">
        <f>I7*ticket</f>
        <v/>
      </c>
      <c r="L7" s="16">
        <f>I7*0.3</f>
        <v/>
      </c>
      <c r="M7" s="15">
        <f>I7*0.3*ticket</f>
        <v/>
      </c>
      <c r="N7" s="16">
        <f>I7*0.5</f>
        <v/>
      </c>
      <c r="O7" s="15">
        <f>I7*0.5*ticket</f>
        <v/>
      </c>
      <c r="P7" s="16">
        <f>I7*0.7</f>
        <v/>
      </c>
      <c r="Q7" s="15">
        <f>I7*0.7*ticket</f>
        <v/>
      </c>
    </row>
    <row r="8">
      <c r="A8" s="17" t="inlineStr">
        <is>
          <t>Total consolidado</t>
        </is>
      </c>
      <c r="B8" s="18">
        <f>B4+B5+B7</f>
        <v/>
      </c>
      <c r="C8" s="18">
        <f>C4+C5+C7</f>
        <v/>
      </c>
      <c r="D8" s="18">
        <f>B8+C8</f>
        <v/>
      </c>
      <c r="E8" s="19">
        <f>B8/D8</f>
        <v/>
      </c>
      <c r="F8" s="19">
        <f>C8/D8</f>
        <v/>
      </c>
      <c r="G8" s="20">
        <f>C8*dias_peak+C8*f_perd*(dias_op-dias_peak)</f>
        <v/>
      </c>
      <c r="H8" s="20">
        <f>G8*sem_mes</f>
        <v/>
      </c>
      <c r="I8" s="21">
        <f>G8*sem_anio</f>
        <v/>
      </c>
      <c r="J8" s="22">
        <f>H8*ticket</f>
        <v/>
      </c>
      <c r="K8" s="22">
        <f>I8*ticket</f>
        <v/>
      </c>
      <c r="L8" s="23">
        <f>I8*0.3</f>
        <v/>
      </c>
      <c r="M8" s="22">
        <f>I8*0.3*ticket</f>
        <v/>
      </c>
      <c r="N8" s="23">
        <f>I8*0.5</f>
        <v/>
      </c>
      <c r="O8" s="22">
        <f>I8*0.5*ticket</f>
        <v/>
      </c>
      <c r="P8" s="23">
        <f>I8*0.7</f>
        <v/>
      </c>
      <c r="Q8" s="22">
        <f>I8*0.7*ticket</f>
        <v/>
      </c>
    </row>
    <row r="11">
      <c r="A11" s="24" t="inlineStr">
        <is>
          <t>Fórmulas: perdidos/semana = se van × días peak + se van × factor abandono × días normales; perdidos/mes = semana × 52/12; año = semana × 52; ingreso perdido = perdidos × ticket.</t>
        </is>
      </c>
    </row>
    <row r="12">
      <c r="A12" s="2" t="inlineStr">
        <is>
          <t>Atendidos/semana (consolidado):</t>
        </is>
      </c>
      <c r="B12">
        <f>B8*dias_peak+B8*f_dem*(dias_op-dias_peak)</f>
        <v/>
      </c>
    </row>
    <row r="13">
      <c r="A13" s="2" t="inlineStr">
        <is>
          <t>Atendidos/año (consolidado):</t>
        </is>
      </c>
      <c r="B13" s="25">
        <f>B12*sem_anio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Abono de reserva, comisiones y ROI</t>
        </is>
      </c>
    </row>
    <row r="3">
      <c r="A3" s="3" t="inlineStr">
        <is>
          <t>Concepto</t>
        </is>
      </c>
      <c r="B3" s="3" t="inlineStr">
        <is>
          <t>Valor</t>
        </is>
      </c>
    </row>
    <row r="4">
      <c r="A4" s="4" t="inlineStr">
        <is>
          <t>Comisión Webpay débito por abono (con IVA)</t>
        </is>
      </c>
      <c r="B4" s="26">
        <f>MAX(abono*wp_deb,wp_min_deb*uf)*(1+iva)</f>
        <v/>
      </c>
    </row>
    <row r="5">
      <c r="A5" s="4" t="inlineStr">
        <is>
          <t>Comisión Webpay crédito por abono (con IVA)</t>
        </is>
      </c>
      <c r="B5" s="26">
        <f>MAX(abono*wp_cre,wp_min_cre*uf)*(1+iva)</f>
        <v/>
      </c>
    </row>
    <row r="6">
      <c r="A6" s="4" t="inlineStr">
        <is>
          <t>Comisión mezcla débito/crédito</t>
        </is>
      </c>
      <c r="B6" s="26">
        <f>B4*mix_debito+B5*(1-mix_debito)</f>
        <v/>
      </c>
    </row>
    <row r="7">
      <c r="A7" s="4" t="inlineStr">
        <is>
          <t>Comisión Mercado Pago por abono (con IVA)</t>
        </is>
      </c>
      <c r="B7" s="26">
        <f>abono*mp_pct*(1+iva)</f>
        <v/>
      </c>
    </row>
    <row r="8">
      <c r="A8" s="4" t="inlineStr">
        <is>
          <t>Inversión valorizada (horas + dominio)</t>
        </is>
      </c>
      <c r="B8" s="15">
        <f>horas*valor_hora+dominio</f>
        <v/>
      </c>
    </row>
    <row r="10">
      <c r="A10" s="3" t="inlineStr">
        <is>
          <t>Concepto</t>
        </is>
      </c>
      <c r="B10" s="3" t="inlineStr">
        <is>
          <t>Conservador (30%)</t>
        </is>
      </c>
      <c r="C10" s="3" t="inlineStr">
        <is>
          <t>Medio (50%)</t>
        </is>
      </c>
      <c r="D10" s="3" t="inlineStr">
        <is>
          <t>Optimista (70%)</t>
        </is>
      </c>
    </row>
    <row r="11">
      <c r="A11" s="4" t="inlineStr">
        <is>
          <t>% recuperación</t>
        </is>
      </c>
      <c r="B11" s="6" t="n">
        <v>0.3</v>
      </c>
      <c r="C11" s="6" t="n">
        <v>0.5</v>
      </c>
      <c r="D11" s="6" t="n">
        <v>0.7</v>
      </c>
    </row>
    <row r="12">
      <c r="A12" s="4" t="inlineStr">
        <is>
          <t>Clientes recuperados/año</t>
        </is>
      </c>
      <c r="B12" s="16">
        <f>KPIs!$I$8*B11</f>
        <v/>
      </c>
      <c r="C12" s="16">
        <f>KPIs!$I$8*C11</f>
        <v/>
      </c>
      <c r="D12" s="16">
        <f>KPIs!$I$8*D11</f>
        <v/>
      </c>
    </row>
    <row r="13">
      <c r="A13" s="4" t="inlineStr">
        <is>
          <t>Ingreso adicional bruto/año</t>
        </is>
      </c>
      <c r="B13" s="15">
        <f>B12*ticket</f>
        <v/>
      </c>
      <c r="C13" s="15">
        <f>C12*ticket</f>
        <v/>
      </c>
      <c r="D13" s="15">
        <f>D12*ticket</f>
        <v/>
      </c>
    </row>
    <row r="14">
      <c r="A14" s="4" t="inlineStr">
        <is>
          <t>Margen de contribución</t>
        </is>
      </c>
      <c r="B14" s="15">
        <f>B13*margen</f>
        <v/>
      </c>
      <c r="C14" s="15">
        <f>C13*margen</f>
        <v/>
      </c>
      <c r="D14" s="15">
        <f>D13*margen</f>
        <v/>
      </c>
    </row>
    <row r="15">
      <c r="A15" s="4" t="inlineStr">
        <is>
          <t>Reservas con abono/año</t>
        </is>
      </c>
      <c r="B15" s="16">
        <f>adopcion*KPIs!$B$13+B12</f>
        <v/>
      </c>
      <c r="C15" s="16">
        <f>adopcion*KPIs!$B$13+C12</f>
        <v/>
      </c>
      <c r="D15" s="16">
        <f>adopcion*KPIs!$B$13+D12</f>
        <v/>
      </c>
    </row>
    <row r="16">
      <c r="A16" s="4" t="inlineStr">
        <is>
          <t>Abonos retenidos (ingreso)</t>
        </is>
      </c>
      <c r="B16" s="15">
        <f>B15*noshow_con*abono</f>
        <v/>
      </c>
      <c r="C16" s="15">
        <f>C15*noshow_con*abono</f>
        <v/>
      </c>
      <c r="D16" s="15">
        <f>D15*noshow_con*abono</f>
        <v/>
      </c>
    </row>
    <row r="17">
      <c r="A17" s="4" t="inlineStr">
        <is>
          <t>Comisiones de pasarela</t>
        </is>
      </c>
      <c r="B17" s="15">
        <f>B15*com_mix</f>
        <v/>
      </c>
      <c r="C17" s="15">
        <f>C15*com_mix</f>
        <v/>
      </c>
      <c r="D17" s="15">
        <f>D15*com_mix</f>
        <v/>
      </c>
    </row>
    <row r="18">
      <c r="A18" s="4" t="inlineStr">
        <is>
          <t>Costo operativo anual</t>
        </is>
      </c>
      <c r="B18" s="15">
        <f>opex</f>
        <v/>
      </c>
      <c r="C18" s="15">
        <f>opex</f>
        <v/>
      </c>
      <c r="D18" s="15">
        <f>opex</f>
        <v/>
      </c>
    </row>
    <row r="19">
      <c r="A19" s="27" t="inlineStr">
        <is>
          <t>Beneficio neto anual</t>
        </is>
      </c>
      <c r="B19" s="22">
        <f>B14+B16-B17-B18</f>
        <v/>
      </c>
      <c r="C19" s="22">
        <f>C14+C16-C17-C18</f>
        <v/>
      </c>
      <c r="D19" s="22">
        <f>D14+D16-D17-D18</f>
        <v/>
      </c>
    </row>
    <row r="20">
      <c r="A20" s="27" t="inlineStr">
        <is>
          <t>ROI primer año</t>
        </is>
      </c>
      <c r="B20" s="28">
        <f>(B19-inversion)/inversion</f>
        <v/>
      </c>
      <c r="C20" s="28">
        <f>(C19-inversion)/inversion</f>
        <v/>
      </c>
      <c r="D20" s="28">
        <f>(D19-inversion)/inversion</f>
        <v/>
      </c>
    </row>
    <row r="21">
      <c r="A21" s="27" t="inlineStr">
        <is>
          <t>Período de recuperación (meses)</t>
        </is>
      </c>
      <c r="B21" s="20">
        <f>inversion/(B19/12)</f>
        <v/>
      </c>
      <c r="C21" s="20">
        <f>inversion/(C19/12)</f>
        <v/>
      </c>
      <c r="D21" s="20">
        <f>inversion/(D19/12)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Sensibilidad del precio de referencia (consolidado; ROI escenario medio 50%)</t>
        </is>
      </c>
    </row>
    <row r="3">
      <c r="A3" s="3" t="inlineStr">
        <is>
          <t>Precio de referencia</t>
        </is>
      </c>
      <c r="B3" s="3" t="inlineStr">
        <is>
          <t>Precio</t>
        </is>
      </c>
      <c r="C3" s="3" t="inlineStr">
        <is>
          <t>Pérdida/año</t>
        </is>
      </c>
      <c r="D3" s="3" t="inlineStr">
        <is>
          <t>Ganancia adicional/año (50%)</t>
        </is>
      </c>
      <c r="E3" s="3" t="inlineStr">
        <is>
          <t>Beneficio neto (50%)</t>
        </is>
      </c>
      <c r="F3" s="3" t="inlineStr">
        <is>
          <t>ROI (50%)</t>
        </is>
      </c>
      <c r="G3" s="3" t="inlineStr">
        <is>
          <t>Recuperación (meses)</t>
        </is>
      </c>
    </row>
    <row r="4">
      <c r="A4" s="4" t="inlineStr">
        <is>
          <t>Barba (mínimo)</t>
        </is>
      </c>
      <c r="B4" s="8" t="n">
        <v>8330</v>
      </c>
      <c r="C4" s="15">
        <f>KPIs!$I$8*B4</f>
        <v/>
      </c>
      <c r="D4" s="15">
        <f>KPIs!$I$8*0.5*B4</f>
        <v/>
      </c>
      <c r="E4" s="15">
        <f>D4*margen+Abono_ROI!$C$16-Abono_ROI!$C$17-Abono_ROI!$C$18</f>
        <v/>
      </c>
      <c r="F4" s="29">
        <f>(E4-inversion)/inversion</f>
        <v/>
      </c>
      <c r="G4" s="13">
        <f>inversion/(E4/12)</f>
        <v/>
      </c>
    </row>
    <row r="5">
      <c r="A5" s="17" t="inlineStr">
        <is>
          <t>Corte (oficial)</t>
        </is>
      </c>
      <c r="B5" s="8" t="n">
        <v>11900</v>
      </c>
      <c r="C5" s="15">
        <f>KPIs!$I$8*B5</f>
        <v/>
      </c>
      <c r="D5" s="15">
        <f>KPIs!$I$8*0.5*B5</f>
        <v/>
      </c>
      <c r="E5" s="15">
        <f>D5*margen+Abono_ROI!$C$16-Abono_ROI!$C$17-Abono_ROI!$C$18</f>
        <v/>
      </c>
      <c r="F5" s="29">
        <f>(E5-inversion)/inversion</f>
        <v/>
      </c>
      <c r="G5" s="13">
        <f>inversion/(E5/12)</f>
        <v/>
      </c>
    </row>
    <row r="6">
      <c r="A6" s="4" t="inlineStr">
        <is>
          <t>Corte + Cejas</t>
        </is>
      </c>
      <c r="B6" s="8" t="n">
        <v>15470</v>
      </c>
      <c r="C6" s="15">
        <f>KPIs!$I$8*B6</f>
        <v/>
      </c>
      <c r="D6" s="15">
        <f>KPIs!$I$8*0.5*B6</f>
        <v/>
      </c>
      <c r="E6" s="15">
        <f>D6*margen+Abono_ROI!$C$16-Abono_ROI!$C$17-Abono_ROI!$C$18</f>
        <v/>
      </c>
      <c r="F6" s="29">
        <f>(E6-inversion)/inversion</f>
        <v/>
      </c>
      <c r="G6" s="13">
        <f>inversion/(E6/12)</f>
        <v/>
      </c>
    </row>
    <row r="7">
      <c r="A7" s="4" t="inlineStr">
        <is>
          <t>Corte + Cejas + Lavado</t>
        </is>
      </c>
      <c r="B7" s="8" t="n">
        <v>17850</v>
      </c>
      <c r="C7" s="15">
        <f>KPIs!$I$8*B7</f>
        <v/>
      </c>
      <c r="D7" s="15">
        <f>KPIs!$I$8*0.5*B7</f>
        <v/>
      </c>
      <c r="E7" s="15">
        <f>D7*margen+Abono_ROI!$C$16-Abono_ROI!$C$17-Abono_ROI!$C$18</f>
        <v/>
      </c>
      <c r="F7" s="29">
        <f>(E7-inversion)/inversion</f>
        <v/>
      </c>
      <c r="G7" s="13">
        <f>inversion/(E7/12)</f>
        <v/>
      </c>
    </row>
    <row r="8">
      <c r="A8" s="4" t="inlineStr">
        <is>
          <t>Corte + Barba</t>
        </is>
      </c>
      <c r="B8" s="8" t="n">
        <v>20230</v>
      </c>
      <c r="C8" s="15">
        <f>KPIs!$I$8*B8</f>
        <v/>
      </c>
      <c r="D8" s="15">
        <f>KPIs!$I$8*0.5*B8</f>
        <v/>
      </c>
      <c r="E8" s="15">
        <f>D8*margen+Abono_ROI!$C$16-Abono_ROI!$C$17-Abono_ROI!$C$18</f>
        <v/>
      </c>
      <c r="F8" s="29">
        <f>(E8-inversion)/inversion</f>
        <v/>
      </c>
      <c r="G8" s="13">
        <f>inversion/(E8/12)</f>
        <v/>
      </c>
    </row>
    <row r="9">
      <c r="A9" s="4" t="inlineStr">
        <is>
          <t>S. Completo (máximo)</t>
        </is>
      </c>
      <c r="B9" s="8" t="n">
        <v>23800</v>
      </c>
      <c r="C9" s="15">
        <f>KPIs!$I$8*B9</f>
        <v/>
      </c>
      <c r="D9" s="15">
        <f>KPIs!$I$8*0.5*B9</f>
        <v/>
      </c>
      <c r="E9" s="15">
        <f>D9*margen+Abono_ROI!$C$16-Abono_ROI!$C$17-Abono_ROI!$C$18</f>
        <v/>
      </c>
      <c r="F9" s="29">
        <f>(E9-inversion)/inversion</f>
        <v/>
      </c>
      <c r="G9" s="13">
        <f>inversion/(E9/12)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22" customWidth="1" min="4" max="4"/>
    <col width="22" customWidth="1" min="5" max="5"/>
  </cols>
  <sheetData>
    <row r="1">
      <c r="A1" s="3" t="inlineStr">
        <is>
          <t>Servicio</t>
        </is>
      </c>
      <c r="B1" s="3" t="inlineStr">
        <is>
          <t>Precio</t>
        </is>
      </c>
      <c r="C1" s="3" t="inlineStr">
        <is>
          <t>Categoría</t>
        </is>
      </c>
      <c r="D1" s="3" t="inlineStr">
        <is>
          <t>Duración (min)</t>
        </is>
      </c>
      <c r="E1" s="3" t="inlineStr">
        <is>
          <t>Agendable en línea</t>
        </is>
      </c>
    </row>
    <row r="2">
      <c r="A2" s="4" t="inlineStr">
        <is>
          <t>Corte</t>
        </is>
      </c>
      <c r="B2" s="8" t="n">
        <v>11900</v>
      </c>
      <c r="C2" s="4" t="inlineStr">
        <is>
          <t>CORTE</t>
        </is>
      </c>
      <c r="D2" s="5" t="n">
        <v>40</v>
      </c>
      <c r="E2" s="4" t="inlineStr">
        <is>
          <t>Sí</t>
        </is>
      </c>
    </row>
    <row r="3">
      <c r="A3" s="4" t="inlineStr">
        <is>
          <t>Corte + Cejas</t>
        </is>
      </c>
      <c r="B3" s="8" t="n">
        <v>15470</v>
      </c>
      <c r="C3" s="4" t="inlineStr">
        <is>
          <t>COMBO</t>
        </is>
      </c>
      <c r="D3" s="5" t="n">
        <v>45</v>
      </c>
      <c r="E3" s="4" t="inlineStr">
        <is>
          <t>Sí</t>
        </is>
      </c>
    </row>
    <row r="4">
      <c r="A4" s="4" t="inlineStr">
        <is>
          <t>Corte + Barba</t>
        </is>
      </c>
      <c r="B4" s="8" t="n">
        <v>20230</v>
      </c>
      <c r="C4" s="4" t="inlineStr">
        <is>
          <t>COMBO</t>
        </is>
      </c>
      <c r="D4" s="5" t="n">
        <v>50</v>
      </c>
      <c r="E4" s="4" t="inlineStr">
        <is>
          <t>Sí</t>
        </is>
      </c>
    </row>
    <row r="5">
      <c r="A5" s="4" t="inlineStr">
        <is>
          <t>S. Completo</t>
        </is>
      </c>
      <c r="B5" s="8" t="n">
        <v>23800</v>
      </c>
      <c r="C5" s="4" t="inlineStr">
        <is>
          <t>COMBO</t>
        </is>
      </c>
      <c r="D5" s="5" t="n">
        <v>60</v>
      </c>
      <c r="E5" s="4" t="inlineStr">
        <is>
          <t>Sí</t>
        </is>
      </c>
    </row>
    <row r="6">
      <c r="A6" s="4" t="inlineStr">
        <is>
          <t>Corte + Cejas + Lavado</t>
        </is>
      </c>
      <c r="B6" s="8" t="n">
        <v>17850</v>
      </c>
      <c r="C6" s="4" t="inlineStr">
        <is>
          <t>COMBO</t>
        </is>
      </c>
      <c r="D6" s="5" t="n">
        <v>55</v>
      </c>
      <c r="E6" s="4" t="inlineStr">
        <is>
          <t>Sí</t>
        </is>
      </c>
    </row>
    <row r="7">
      <c r="A7" s="4" t="inlineStr">
        <is>
          <t>Lavado</t>
        </is>
      </c>
      <c r="B7" s="8" t="n">
        <v>3570</v>
      </c>
      <c r="C7" s="4" t="inlineStr">
        <is>
          <t>COMPLEMENTO</t>
        </is>
      </c>
      <c r="D7" s="5" t="n">
        <v>15</v>
      </c>
      <c r="E7" s="4" t="inlineStr">
        <is>
          <t>No</t>
        </is>
      </c>
    </row>
    <row r="8">
      <c r="A8" s="4" t="inlineStr">
        <is>
          <t>Barba</t>
        </is>
      </c>
      <c r="B8" s="8" t="n">
        <v>8330</v>
      </c>
      <c r="C8" s="4" t="inlineStr">
        <is>
          <t>BARBA</t>
        </is>
      </c>
      <c r="D8" s="5" t="n">
        <v>30</v>
      </c>
      <c r="E8" s="4" t="inlineStr">
        <is>
          <t>Sí</t>
        </is>
      </c>
    </row>
    <row r="9">
      <c r="A9" s="4" t="inlineStr">
        <is>
          <t>Cejas</t>
        </is>
      </c>
      <c r="B9" s="8" t="n">
        <v>3570</v>
      </c>
      <c r="C9" s="4" t="inlineStr">
        <is>
          <t>COMPLEMENTO</t>
        </is>
      </c>
      <c r="D9" s="5" t="n">
        <v>15</v>
      </c>
      <c r="E9" s="4" t="inlineStr">
        <is>
          <t>No</t>
        </is>
      </c>
    </row>
    <row r="10">
      <c r="A10" s="4" t="inlineStr">
        <is>
          <t>Mascarillas Faciales</t>
        </is>
      </c>
      <c r="B10" s="8" t="n">
        <v>2380</v>
      </c>
      <c r="C10" s="4" t="inlineStr">
        <is>
          <t>COMPLEMENTO</t>
        </is>
      </c>
      <c r="D10" s="5" t="n">
        <v>15</v>
      </c>
      <c r="E10" s="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</cols>
  <sheetData>
    <row r="1">
      <c r="A1" s="1" t="inlineStr">
        <is>
          <t>Riesgo de sanciones evitado (Ley N° 21.719, art. 35)</t>
        </is>
      </c>
    </row>
    <row r="3">
      <c r="A3" s="3" t="inlineStr">
        <is>
          <t>Infracción</t>
        </is>
      </c>
      <c r="B3" s="3" t="inlineStr">
        <is>
          <t>UTM</t>
        </is>
      </c>
      <c r="C3" s="3" t="inlineStr">
        <is>
          <t>CLP</t>
        </is>
      </c>
    </row>
    <row r="4">
      <c r="A4" s="4" t="inlineStr">
        <is>
          <t>Leve</t>
        </is>
      </c>
      <c r="B4" s="30" t="n">
        <v>5000</v>
      </c>
      <c r="C4" s="15">
        <f>B4*utm</f>
        <v/>
      </c>
    </row>
    <row r="5">
      <c r="A5" s="4" t="inlineStr">
        <is>
          <t>Grave</t>
        </is>
      </c>
      <c r="B5" s="30" t="n">
        <v>10000</v>
      </c>
      <c r="C5" s="15">
        <f>B5*utm</f>
        <v/>
      </c>
    </row>
    <row r="6">
      <c r="A6" s="4" t="inlineStr">
        <is>
          <t>Gravísima</t>
        </is>
      </c>
      <c r="B6" s="30" t="n">
        <v>20000</v>
      </c>
      <c r="C6" s="15">
        <f>B6*utm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58" customWidth="1" min="3" max="3"/>
    <col width="11" customWidth="1" min="4" max="4"/>
    <col width="14" customWidth="1" min="5" max="5"/>
  </cols>
  <sheetData>
    <row r="1">
      <c r="A1" s="1" t="inlineStr">
        <is>
          <t>Estimación de costos cloud (escenario futuro) — precios consultados el 09-10-2026</t>
        </is>
      </c>
    </row>
    <row r="3">
      <c r="A3" s="3" t="inlineStr">
        <is>
          <t>Proveedor</t>
        </is>
      </c>
      <c r="B3" s="3" t="inlineStr">
        <is>
          <t>Escenario</t>
        </is>
      </c>
      <c r="C3" s="3" t="inlineStr">
        <is>
          <t>Componente</t>
        </is>
      </c>
      <c r="D3" s="3" t="inlineStr">
        <is>
          <t>USD/mes</t>
        </is>
      </c>
      <c r="E3" s="3" t="inlineStr">
        <is>
          <t>CLP/mes</t>
        </is>
      </c>
    </row>
    <row r="4">
      <c r="A4" s="4" t="inlineStr">
        <is>
          <t>AWS (sa-east-1 São Paulo)</t>
        </is>
      </c>
      <c r="B4" s="4" t="inlineStr">
        <is>
          <t>Bajo</t>
        </is>
      </c>
      <c r="C4" s="4" t="inlineStr">
        <is>
          <t>Cómputo EC2 t4g.small (2 vCPU, 2 GiB)</t>
        </is>
      </c>
      <c r="D4" s="7" t="n">
        <v>19.564</v>
      </c>
      <c r="E4" s="15">
        <f>D4*usd</f>
        <v/>
      </c>
    </row>
    <row r="5">
      <c r="A5" s="4" t="inlineStr">
        <is>
          <t>AWS (sa-east-1 São Paulo)</t>
        </is>
      </c>
      <c r="B5" s="4" t="inlineStr">
        <is>
          <t>Bajo</t>
        </is>
      </c>
      <c r="C5" s="4" t="inlineStr">
        <is>
          <t>BD RDS PostgreSQL db.t4g.micro Single-AZ</t>
        </is>
      </c>
      <c r="D5" s="7" t="n">
        <v>24.82</v>
      </c>
      <c r="E5" s="15">
        <f>D5*usd</f>
        <v/>
      </c>
    </row>
    <row r="6">
      <c r="A6" s="4" t="inlineStr">
        <is>
          <t>AWS (sa-east-1 São Paulo)</t>
        </is>
      </c>
      <c r="B6" s="4" t="inlineStr">
        <is>
          <t>Bajo</t>
        </is>
      </c>
      <c r="C6" s="4" t="inlineStr">
        <is>
          <t>Almacenamiento BD gp3 20 GB</t>
        </is>
      </c>
      <c r="D6" s="7" t="n">
        <v>4.38</v>
      </c>
      <c r="E6" s="15">
        <f>D6*usd</f>
        <v/>
      </c>
    </row>
    <row r="7">
      <c r="A7" s="4" t="inlineStr">
        <is>
          <t>AWS (sa-east-1 São Paulo)</t>
        </is>
      </c>
      <c r="B7" s="4" t="inlineStr">
        <is>
          <t>Bajo</t>
        </is>
      </c>
      <c r="C7" s="4" t="inlineStr">
        <is>
          <t>Respaldos (incluidos hasta tamaño BD) + S3 10 GB</t>
        </is>
      </c>
      <c r="D7" s="7" t="n">
        <v>0.405</v>
      </c>
      <c r="E7" s="15">
        <f>D7*usd</f>
        <v/>
      </c>
    </row>
    <row r="8">
      <c r="A8" s="4" t="inlineStr">
        <is>
          <t>AWS (sa-east-1 São Paulo)</t>
        </is>
      </c>
      <c r="B8" s="4" t="inlineStr">
        <is>
          <t>Bajo</t>
        </is>
      </c>
      <c r="C8" s="4" t="inlineStr">
        <is>
          <t>Correo Amazon SES (3.000/mes)</t>
        </is>
      </c>
      <c r="D8" s="7" t="n">
        <v>0.3</v>
      </c>
      <c r="E8" s="15">
        <f>D8*usd</f>
        <v/>
      </c>
    </row>
    <row r="9">
      <c r="A9" s="4" t="inlineStr">
        <is>
          <t>AWS (sa-east-1 São Paulo)</t>
        </is>
      </c>
      <c r="B9" s="4" t="inlineStr">
        <is>
          <t>Bajo</t>
        </is>
      </c>
      <c r="C9" s="4" t="inlineStr">
        <is>
          <t>Soporte (Basic)</t>
        </is>
      </c>
      <c r="D9" s="7" t="n">
        <v>0</v>
      </c>
      <c r="E9" s="15">
        <f>D9*usd</f>
        <v/>
      </c>
    </row>
    <row r="10">
      <c r="A10" s="18" t="inlineStr">
        <is>
          <t>AWS (sa-east-1 São Paulo)</t>
        </is>
      </c>
      <c r="B10" s="18" t="inlineStr">
        <is>
          <t>Bajo</t>
        </is>
      </c>
      <c r="C10" s="17" t="inlineStr">
        <is>
          <t>Total mensual (incluye dominio prorrateado)</t>
        </is>
      </c>
      <c r="D10" s="31">
        <f>SUM(D4:D9)</f>
        <v/>
      </c>
      <c r="E10" s="22">
        <f>SUM(E4:E9)+dominio/12</f>
        <v/>
      </c>
    </row>
    <row r="11">
      <c r="A11" s="4" t="inlineStr">
        <is>
          <t>AWS (sa-east-1 São Paulo)</t>
        </is>
      </c>
      <c r="B11" s="4" t="inlineStr">
        <is>
          <t>Medio</t>
        </is>
      </c>
      <c r="C11" s="4" t="inlineStr">
        <is>
          <t>Cómputo EC2 t4g.medium (2 vCPU, 4 GiB)</t>
        </is>
      </c>
      <c r="D11" s="7" t="n">
        <v>39.128</v>
      </c>
      <c r="E11" s="15">
        <f>D11*usd</f>
        <v/>
      </c>
    </row>
    <row r="12">
      <c r="A12" s="4" t="inlineStr">
        <is>
          <t>AWS (sa-east-1 São Paulo)</t>
        </is>
      </c>
      <c r="B12" s="4" t="inlineStr">
        <is>
          <t>Medio</t>
        </is>
      </c>
      <c r="C12" s="4" t="inlineStr">
        <is>
          <t>BD RDS PostgreSQL db.t4g.small Multi-AZ</t>
        </is>
      </c>
      <c r="D12" s="7" t="n">
        <v>100.01</v>
      </c>
      <c r="E12" s="15">
        <f>D12*usd</f>
        <v/>
      </c>
    </row>
    <row r="13">
      <c r="A13" s="4" t="inlineStr">
        <is>
          <t>AWS (sa-east-1 São Paulo)</t>
        </is>
      </c>
      <c r="B13" s="4" t="inlineStr">
        <is>
          <t>Medio</t>
        </is>
      </c>
      <c r="C13" s="4" t="inlineStr">
        <is>
          <t>Almacenamiento BD gp3 50 GB Multi-AZ</t>
        </is>
      </c>
      <c r="D13" s="7" t="n">
        <v>21.9</v>
      </c>
      <c r="E13" s="15">
        <f>D13*usd</f>
        <v/>
      </c>
    </row>
    <row r="14">
      <c r="A14" s="4" t="inlineStr">
        <is>
          <t>AWS (sa-east-1 São Paulo)</t>
        </is>
      </c>
      <c r="B14" s="4" t="inlineStr">
        <is>
          <t>Medio</t>
        </is>
      </c>
      <c r="C14" s="4" t="inlineStr">
        <is>
          <t>Respaldos + S3 50 GB</t>
        </is>
      </c>
      <c r="D14" s="7" t="n">
        <v>2.025</v>
      </c>
      <c r="E14" s="15">
        <f>D14*usd</f>
        <v/>
      </c>
    </row>
    <row r="15">
      <c r="A15" s="4" t="inlineStr">
        <is>
          <t>AWS (sa-east-1 São Paulo)</t>
        </is>
      </c>
      <c r="B15" s="4" t="inlineStr">
        <is>
          <t>Medio</t>
        </is>
      </c>
      <c r="C15" s="4" t="inlineStr">
        <is>
          <t>Correo Amazon SES (20.000/mes)</t>
        </is>
      </c>
      <c r="D15" s="7" t="n">
        <v>2</v>
      </c>
      <c r="E15" s="15">
        <f>D15*usd</f>
        <v/>
      </c>
    </row>
    <row r="16">
      <c r="A16" s="4" t="inlineStr">
        <is>
          <t>AWS (sa-east-1 São Paulo)</t>
        </is>
      </c>
      <c r="B16" s="4" t="inlineStr">
        <is>
          <t>Medio</t>
        </is>
      </c>
      <c r="C16" s="4" t="inlineStr">
        <is>
          <t>Soporte Business Support+ (mínimo)</t>
        </is>
      </c>
      <c r="D16" s="7" t="n">
        <v>29</v>
      </c>
      <c r="E16" s="15">
        <f>D16*usd</f>
        <v/>
      </c>
    </row>
    <row r="17">
      <c r="A17" s="18" t="inlineStr">
        <is>
          <t>AWS (sa-east-1 São Paulo)</t>
        </is>
      </c>
      <c r="B17" s="18" t="inlineStr">
        <is>
          <t>Medio</t>
        </is>
      </c>
      <c r="C17" s="17" t="inlineStr">
        <is>
          <t>Total mensual (incluye dominio prorrateado)</t>
        </is>
      </c>
      <c r="D17" s="31">
        <f>SUM(D11:D16)</f>
        <v/>
      </c>
      <c r="E17" s="22">
        <f>SUM(E11:E16)+dominio/12</f>
        <v/>
      </c>
    </row>
    <row r="18">
      <c r="A18" s="4" t="inlineStr">
        <is>
          <t>AWS (sa-east-1 São Paulo)</t>
        </is>
      </c>
      <c r="B18" s="4" t="inlineStr">
        <is>
          <t>Alto</t>
        </is>
      </c>
      <c r="C18" s="4" t="inlineStr">
        <is>
          <t>Cómputo 2× EC2 t4g.medium</t>
        </is>
      </c>
      <c r="D18" s="7" t="n">
        <v>78.256</v>
      </c>
      <c r="E18" s="15">
        <f>D18*usd</f>
        <v/>
      </c>
    </row>
    <row r="19">
      <c r="A19" s="4" t="inlineStr">
        <is>
          <t>AWS (sa-east-1 São Paulo)</t>
        </is>
      </c>
      <c r="B19" s="4" t="inlineStr">
        <is>
          <t>Alto</t>
        </is>
      </c>
      <c r="C19" s="4" t="inlineStr">
        <is>
          <t>BD RDS PostgreSQL db.t4g.medium Multi-AZ</t>
        </is>
      </c>
      <c r="D19" s="7" t="n">
        <v>200.75</v>
      </c>
      <c r="E19" s="15">
        <f>D19*usd</f>
        <v/>
      </c>
    </row>
    <row r="20">
      <c r="A20" s="4" t="inlineStr">
        <is>
          <t>AWS (sa-east-1 São Paulo)</t>
        </is>
      </c>
      <c r="B20" s="4" t="inlineStr">
        <is>
          <t>Alto</t>
        </is>
      </c>
      <c r="C20" s="4" t="inlineStr">
        <is>
          <t>Almacenamiento BD gp3 100 GB Multi-AZ</t>
        </is>
      </c>
      <c r="D20" s="7" t="n">
        <v>43.8</v>
      </c>
      <c r="E20" s="15">
        <f>D20*usd</f>
        <v/>
      </c>
    </row>
    <row r="21">
      <c r="A21" s="4" t="inlineStr">
        <is>
          <t>AWS (sa-east-1 São Paulo)</t>
        </is>
      </c>
      <c r="B21" s="4" t="inlineStr">
        <is>
          <t>Alto</t>
        </is>
      </c>
      <c r="C21" s="4" t="inlineStr">
        <is>
          <t>Respaldos + S3 200 GB</t>
        </is>
      </c>
      <c r="D21" s="7" t="n">
        <v>8.1</v>
      </c>
      <c r="E21" s="15">
        <f>D21*usd</f>
        <v/>
      </c>
    </row>
    <row r="22">
      <c r="A22" s="4" t="inlineStr">
        <is>
          <t>AWS (sa-east-1 São Paulo)</t>
        </is>
      </c>
      <c r="B22" s="4" t="inlineStr">
        <is>
          <t>Alto</t>
        </is>
      </c>
      <c r="C22" s="4" t="inlineStr">
        <is>
          <t>Correo Amazon SES (60.000/mes)</t>
        </is>
      </c>
      <c r="D22" s="7" t="n">
        <v>6</v>
      </c>
      <c r="E22" s="15">
        <f>D22*usd</f>
        <v/>
      </c>
    </row>
    <row r="23">
      <c r="A23" s="4" t="inlineStr">
        <is>
          <t>AWS (sa-east-1 São Paulo)</t>
        </is>
      </c>
      <c r="B23" s="4" t="inlineStr">
        <is>
          <t>Alto</t>
        </is>
      </c>
      <c r="C23" s="4" t="inlineStr">
        <is>
          <t>Soporte Business Support+ (mínimo)</t>
        </is>
      </c>
      <c r="D23" s="7" t="n">
        <v>29</v>
      </c>
      <c r="E23" s="15">
        <f>D23*usd</f>
        <v/>
      </c>
    </row>
    <row r="24">
      <c r="A24" s="18" t="inlineStr">
        <is>
          <t>AWS (sa-east-1 São Paulo)</t>
        </is>
      </c>
      <c r="B24" s="18" t="inlineStr">
        <is>
          <t>Alto</t>
        </is>
      </c>
      <c r="C24" s="17" t="inlineStr">
        <is>
          <t>Total mensual (incluye dominio prorrateado)</t>
        </is>
      </c>
      <c r="D24" s="31">
        <f>SUM(D18:D23)</f>
        <v/>
      </c>
      <c r="E24" s="22">
        <f>SUM(E18:E23)+dominio/12</f>
        <v/>
      </c>
    </row>
    <row r="25">
      <c r="A25" s="4" t="inlineStr">
        <is>
          <t>Microsoft Azure (Chile Central, Santiago)</t>
        </is>
      </c>
      <c r="B25" s="4" t="inlineStr">
        <is>
          <t>Bajo</t>
        </is>
      </c>
      <c r="C25" s="4" t="inlineStr">
        <is>
          <t>Cómputo VM B2ats v2 (2 vCPU, 1 GiB)</t>
        </is>
      </c>
      <c r="D25" s="7" t="n">
        <v>9.635999999999999</v>
      </c>
      <c r="E25" s="15">
        <f>D25*usd</f>
        <v/>
      </c>
    </row>
    <row r="26">
      <c r="A26" s="4" t="inlineStr">
        <is>
          <t>Microsoft Azure (Chile Central, Santiago)</t>
        </is>
      </c>
      <c r="B26" s="4" t="inlineStr">
        <is>
          <t>Bajo</t>
        </is>
      </c>
      <c r="C26" s="4" t="inlineStr">
        <is>
          <t>BD PostgreSQL Flexible B1ms</t>
        </is>
      </c>
      <c r="D26" s="7" t="n">
        <v>17.374</v>
      </c>
      <c r="E26" s="15">
        <f>D26*usd</f>
        <v/>
      </c>
    </row>
    <row r="27">
      <c r="A27" s="4" t="inlineStr">
        <is>
          <t>Microsoft Azure (Chile Central, Santiago)</t>
        </is>
      </c>
      <c r="B27" s="4" t="inlineStr">
        <is>
          <t>Bajo</t>
        </is>
      </c>
      <c r="C27" s="4" t="inlineStr">
        <is>
          <t>Almacenamiento BD 32 GB</t>
        </is>
      </c>
      <c r="D27" s="7" t="n">
        <v>5.152</v>
      </c>
      <c r="E27" s="15">
        <f>D27*usd</f>
        <v/>
      </c>
    </row>
    <row r="28">
      <c r="A28" s="4" t="inlineStr">
        <is>
          <t>Microsoft Azure (Chile Central, Santiago)</t>
        </is>
      </c>
      <c r="B28" s="4" t="inlineStr">
        <is>
          <t>Bajo</t>
        </is>
      </c>
      <c r="C28" s="4" t="inlineStr">
        <is>
          <t>Respaldos (gratis hasta 100% del almacenamiento) + Blob 10 GB</t>
        </is>
      </c>
      <c r="D28" s="7" t="n">
        <v>0.2576</v>
      </c>
      <c r="E28" s="15">
        <f>D28*usd</f>
        <v/>
      </c>
    </row>
    <row r="29">
      <c r="A29" s="4" t="inlineStr">
        <is>
          <t>Microsoft Azure (Chile Central, Santiago)</t>
        </is>
      </c>
      <c r="B29" s="4" t="inlineStr">
        <is>
          <t>Bajo</t>
        </is>
      </c>
      <c r="C29" s="4" t="inlineStr">
        <is>
          <t>Correo transaccional (Amazon SES, 3.000/mes)</t>
        </is>
      </c>
      <c r="D29" s="7" t="n">
        <v>0.3</v>
      </c>
      <c r="E29" s="15">
        <f>D29*usd</f>
        <v/>
      </c>
    </row>
    <row r="30">
      <c r="A30" s="4" t="inlineStr">
        <is>
          <t>Microsoft Azure (Chile Central, Santiago)</t>
        </is>
      </c>
      <c r="B30" s="4" t="inlineStr">
        <is>
          <t>Bajo</t>
        </is>
      </c>
      <c r="C30" s="4" t="inlineStr">
        <is>
          <t>Soporte (Basic)</t>
        </is>
      </c>
      <c r="D30" s="7" t="n">
        <v>0</v>
      </c>
      <c r="E30" s="15">
        <f>D30*usd</f>
        <v/>
      </c>
    </row>
    <row r="31">
      <c r="A31" s="18" t="inlineStr">
        <is>
          <t>Microsoft Azure (Chile Central, Santiago)</t>
        </is>
      </c>
      <c r="B31" s="18" t="inlineStr">
        <is>
          <t>Bajo</t>
        </is>
      </c>
      <c r="C31" s="17" t="inlineStr">
        <is>
          <t>Total mensual (incluye dominio prorrateado)</t>
        </is>
      </c>
      <c r="D31" s="31">
        <f>SUM(D25:D30)</f>
        <v/>
      </c>
      <c r="E31" s="22">
        <f>SUM(E25:E30)+dominio/12</f>
        <v/>
      </c>
    </row>
    <row r="32">
      <c r="A32" s="4" t="inlineStr">
        <is>
          <t>Microsoft Azure (Chile Central, Santiago)</t>
        </is>
      </c>
      <c r="B32" s="4" t="inlineStr">
        <is>
          <t>Medio</t>
        </is>
      </c>
      <c r="C32" s="4" t="inlineStr">
        <is>
          <t>Cómputo VM B2s (2 vCPU, 4 GiB)</t>
        </is>
      </c>
      <c r="D32" s="7" t="n">
        <v>42.486</v>
      </c>
      <c r="E32" s="15">
        <f>D32*usd</f>
        <v/>
      </c>
    </row>
    <row r="33">
      <c r="A33" s="4" t="inlineStr">
        <is>
          <t>Microsoft Azure (Chile Central, Santiago)</t>
        </is>
      </c>
      <c r="B33" s="4" t="inlineStr">
        <is>
          <t>Medio</t>
        </is>
      </c>
      <c r="C33" s="4" t="inlineStr">
        <is>
          <t>BD PostgreSQL Flexible B2s con alta disponibilidad</t>
        </is>
      </c>
      <c r="D33" s="7" t="n">
        <v>138.992</v>
      </c>
      <c r="E33" s="15">
        <f>D33*usd</f>
        <v/>
      </c>
    </row>
    <row r="34">
      <c r="A34" s="4" t="inlineStr">
        <is>
          <t>Microsoft Azure (Chile Central, Santiago)</t>
        </is>
      </c>
      <c r="B34" s="4" t="inlineStr">
        <is>
          <t>Medio</t>
        </is>
      </c>
      <c r="C34" s="4" t="inlineStr">
        <is>
          <t>Almacenamiento BD 64 GB (HA)</t>
        </is>
      </c>
      <c r="D34" s="7" t="n">
        <v>20.608</v>
      </c>
      <c r="E34" s="15">
        <f>D34*usd</f>
        <v/>
      </c>
    </row>
    <row r="35">
      <c r="A35" s="4" t="inlineStr">
        <is>
          <t>Microsoft Azure (Chile Central, Santiago)</t>
        </is>
      </c>
      <c r="B35" s="4" t="inlineStr">
        <is>
          <t>Medio</t>
        </is>
      </c>
      <c r="C35" s="4" t="inlineStr">
        <is>
          <t>Respaldos + Blob 50 GB</t>
        </is>
      </c>
      <c r="D35" s="7" t="n">
        <v>1.288</v>
      </c>
      <c r="E35" s="15">
        <f>D35*usd</f>
        <v/>
      </c>
    </row>
    <row r="36">
      <c r="A36" s="4" t="inlineStr">
        <is>
          <t>Microsoft Azure (Chile Central, Santiago)</t>
        </is>
      </c>
      <c r="B36" s="4" t="inlineStr">
        <is>
          <t>Medio</t>
        </is>
      </c>
      <c r="C36" s="4" t="inlineStr">
        <is>
          <t>Correo transaccional (20.000/mes)</t>
        </is>
      </c>
      <c r="D36" s="7" t="n">
        <v>2</v>
      </c>
      <c r="E36" s="15">
        <f>D36*usd</f>
        <v/>
      </c>
    </row>
    <row r="37">
      <c r="A37" s="4" t="inlineStr">
        <is>
          <t>Microsoft Azure (Chile Central, Santiago)</t>
        </is>
      </c>
      <c r="B37" s="4" t="inlineStr">
        <is>
          <t>Medio</t>
        </is>
      </c>
      <c r="C37" s="4" t="inlineStr">
        <is>
          <t>Soporte Developer</t>
        </is>
      </c>
      <c r="D37" s="7" t="n">
        <v>29</v>
      </c>
      <c r="E37" s="15">
        <f>D37*usd</f>
        <v/>
      </c>
    </row>
    <row r="38">
      <c r="A38" s="18" t="inlineStr">
        <is>
          <t>Microsoft Azure (Chile Central, Santiago)</t>
        </is>
      </c>
      <c r="B38" s="18" t="inlineStr">
        <is>
          <t>Medio</t>
        </is>
      </c>
      <c r="C38" s="17" t="inlineStr">
        <is>
          <t>Total mensual (incluye dominio prorrateado)</t>
        </is>
      </c>
      <c r="D38" s="31">
        <f>SUM(D32:D37)</f>
        <v/>
      </c>
      <c r="E38" s="22">
        <f>SUM(E32:E37)+dominio/12</f>
        <v/>
      </c>
    </row>
    <row r="39">
      <c r="A39" s="4" t="inlineStr">
        <is>
          <t>Microsoft Azure (Chile Central, Santiago)</t>
        </is>
      </c>
      <c r="B39" s="4" t="inlineStr">
        <is>
          <t>Alto</t>
        </is>
      </c>
      <c r="C39" s="4" t="inlineStr">
        <is>
          <t>Cómputo 2× VM B2s</t>
        </is>
      </c>
      <c r="D39" s="7" t="n">
        <v>84.97199999999999</v>
      </c>
      <c r="E39" s="15">
        <f>D39*usd</f>
        <v/>
      </c>
    </row>
    <row r="40">
      <c r="A40" s="4" t="inlineStr">
        <is>
          <t>Microsoft Azure (Chile Central, Santiago)</t>
        </is>
      </c>
      <c r="B40" s="4" t="inlineStr">
        <is>
          <t>Alto</t>
        </is>
      </c>
      <c r="C40" s="4" t="inlineStr">
        <is>
          <t>BD PostgreSQL Flexible B2ms con alta disponibilidad</t>
        </is>
      </c>
      <c r="D40" s="7" t="n">
        <v>277.984</v>
      </c>
      <c r="E40" s="15">
        <f>D40*usd</f>
        <v/>
      </c>
    </row>
    <row r="41">
      <c r="A41" s="4" t="inlineStr">
        <is>
          <t>Microsoft Azure (Chile Central, Santiago)</t>
        </is>
      </c>
      <c r="B41" s="4" t="inlineStr">
        <is>
          <t>Alto</t>
        </is>
      </c>
      <c r="C41" s="4" t="inlineStr">
        <is>
          <t>Almacenamiento BD 128 GB (HA)</t>
        </is>
      </c>
      <c r="D41" s="7" t="n">
        <v>41.216</v>
      </c>
      <c r="E41" s="15">
        <f>D41*usd</f>
        <v/>
      </c>
    </row>
    <row r="42">
      <c r="A42" s="4" t="inlineStr">
        <is>
          <t>Microsoft Azure (Chile Central, Santiago)</t>
        </is>
      </c>
      <c r="B42" s="4" t="inlineStr">
        <is>
          <t>Alto</t>
        </is>
      </c>
      <c r="C42" s="4" t="inlineStr">
        <is>
          <t>Respaldos + Blob 200 GB</t>
        </is>
      </c>
      <c r="D42" s="7" t="n">
        <v>5.152</v>
      </c>
      <c r="E42" s="15">
        <f>D42*usd</f>
        <v/>
      </c>
    </row>
    <row r="43">
      <c r="A43" s="4" t="inlineStr">
        <is>
          <t>Microsoft Azure (Chile Central, Santiago)</t>
        </is>
      </c>
      <c r="B43" s="4" t="inlineStr">
        <is>
          <t>Alto</t>
        </is>
      </c>
      <c r="C43" s="4" t="inlineStr">
        <is>
          <t>Correo transaccional (60.000/mes)</t>
        </is>
      </c>
      <c r="D43" s="7" t="n">
        <v>6</v>
      </c>
      <c r="E43" s="15">
        <f>D43*usd</f>
        <v/>
      </c>
    </row>
    <row r="44">
      <c r="A44" s="4" t="inlineStr">
        <is>
          <t>Microsoft Azure (Chile Central, Santiago)</t>
        </is>
      </c>
      <c r="B44" s="4" t="inlineStr">
        <is>
          <t>Alto</t>
        </is>
      </c>
      <c r="C44" s="4" t="inlineStr">
        <is>
          <t>Soporte Developer</t>
        </is>
      </c>
      <c r="D44" s="7" t="n">
        <v>29</v>
      </c>
      <c r="E44" s="15">
        <f>D44*usd</f>
        <v/>
      </c>
    </row>
    <row r="45">
      <c r="A45" s="18" t="inlineStr">
        <is>
          <t>Microsoft Azure (Chile Central, Santiago)</t>
        </is>
      </c>
      <c r="B45" s="18" t="inlineStr">
        <is>
          <t>Alto</t>
        </is>
      </c>
      <c r="C45" s="17" t="inlineStr">
        <is>
          <t>Total mensual (incluye dominio prorrateado)</t>
        </is>
      </c>
      <c r="D45" s="31">
        <f>SUM(D39:D44)</f>
        <v/>
      </c>
      <c r="E45" s="22">
        <f>SUM(E39:E44)+dominio/12</f>
        <v/>
      </c>
    </row>
    <row r="46">
      <c r="A46" s="4" t="inlineStr">
        <is>
          <t>Google Cloud (southamerica-west1, Santiago)</t>
        </is>
      </c>
      <c r="B46" s="4" t="inlineStr">
        <is>
          <t>Bajo</t>
        </is>
      </c>
      <c r="C46" s="4" t="inlineStr">
        <is>
          <t>Cómputo e2-small (2 vCPU compartidas, 2 GB)</t>
        </is>
      </c>
      <c r="D46" s="7" t="n">
        <v>17.49</v>
      </c>
      <c r="E46" s="15">
        <f>D46*usd</f>
        <v/>
      </c>
    </row>
    <row r="47">
      <c r="A47" s="4" t="inlineStr">
        <is>
          <t>Google Cloud (southamerica-west1, Santiago)</t>
        </is>
      </c>
      <c r="B47" s="4" t="inlineStr">
        <is>
          <t>Bajo</t>
        </is>
      </c>
      <c r="C47" s="4" t="inlineStr">
        <is>
          <t>BD Cloud SQL PostgreSQL db-g1-small</t>
        </is>
      </c>
      <c r="D47" s="7" t="n">
        <v>25.55</v>
      </c>
      <c r="E47" s="15">
        <f>D47*usd</f>
        <v/>
      </c>
    </row>
    <row r="48">
      <c r="A48" s="4" t="inlineStr">
        <is>
          <t>Google Cloud (southamerica-west1, Santiago)</t>
        </is>
      </c>
      <c r="B48" s="4" t="inlineStr">
        <is>
          <t>Bajo</t>
        </is>
      </c>
      <c r="C48" s="4" t="inlineStr">
        <is>
          <t>Almacenamiento SSD 20 GB (precio ref. us-central1)</t>
        </is>
      </c>
      <c r="D48" s="7" t="n">
        <v>3.4</v>
      </c>
      <c r="E48" s="15">
        <f>D48*usd</f>
        <v/>
      </c>
    </row>
    <row r="49">
      <c r="A49" s="4" t="inlineStr">
        <is>
          <t>Google Cloud (southamerica-west1, Santiago)</t>
        </is>
      </c>
      <c r="B49" s="4" t="inlineStr">
        <is>
          <t>Bajo</t>
        </is>
      </c>
      <c r="C49" s="4" t="inlineStr">
        <is>
          <t>Respaldos (7 automáticos incluidos) + Cloud Storage 10 GB</t>
        </is>
      </c>
      <c r="D49" s="7" t="n">
        <v>0.26</v>
      </c>
      <c r="E49" s="15">
        <f>D49*usd</f>
        <v/>
      </c>
    </row>
    <row r="50">
      <c r="A50" s="4" t="inlineStr">
        <is>
          <t>Google Cloud (southamerica-west1, Santiago)</t>
        </is>
      </c>
      <c r="B50" s="4" t="inlineStr">
        <is>
          <t>Bajo</t>
        </is>
      </c>
      <c r="C50" s="4" t="inlineStr">
        <is>
          <t>Correo transaccional (3.000/mes)</t>
        </is>
      </c>
      <c r="D50" s="7" t="n">
        <v>0.3</v>
      </c>
      <c r="E50" s="15">
        <f>D50*usd</f>
        <v/>
      </c>
    </row>
    <row r="51">
      <c r="A51" s="4" t="inlineStr">
        <is>
          <t>Google Cloud (southamerica-west1, Santiago)</t>
        </is>
      </c>
      <c r="B51" s="4" t="inlineStr">
        <is>
          <t>Bajo</t>
        </is>
      </c>
      <c r="C51" s="4" t="inlineStr">
        <is>
          <t>Soporte (Basic)</t>
        </is>
      </c>
      <c r="D51" s="7" t="n">
        <v>0</v>
      </c>
      <c r="E51" s="15">
        <f>D51*usd</f>
        <v/>
      </c>
    </row>
    <row r="52">
      <c r="A52" s="18" t="inlineStr">
        <is>
          <t>Google Cloud (southamerica-west1, Santiago)</t>
        </is>
      </c>
      <c r="B52" s="18" t="inlineStr">
        <is>
          <t>Bajo</t>
        </is>
      </c>
      <c r="C52" s="17" t="inlineStr">
        <is>
          <t>Total mensual (incluye dominio prorrateado)</t>
        </is>
      </c>
      <c r="D52" s="31">
        <f>SUM(D46:D51)</f>
        <v/>
      </c>
      <c r="E52" s="22">
        <f>SUM(E46:E51)+dominio/12</f>
        <v/>
      </c>
    </row>
    <row r="53">
      <c r="A53" s="4" t="inlineStr">
        <is>
          <t>Google Cloud (southamerica-west1, Santiago)</t>
        </is>
      </c>
      <c r="B53" s="4" t="inlineStr">
        <is>
          <t>Medio</t>
        </is>
      </c>
      <c r="C53" s="4" t="inlineStr">
        <is>
          <t>Cómputo e2-medium (2 vCPU compartidas, 4 GB)</t>
        </is>
      </c>
      <c r="D53" s="7" t="n">
        <v>34.98</v>
      </c>
      <c r="E53" s="15">
        <f>D53*usd</f>
        <v/>
      </c>
    </row>
    <row r="54">
      <c r="A54" s="4" t="inlineStr">
        <is>
          <t>Google Cloud (southamerica-west1, Santiago)</t>
        </is>
      </c>
      <c r="B54" s="4" t="inlineStr">
        <is>
          <t>Medio</t>
        </is>
      </c>
      <c r="C54" s="4" t="inlineStr">
        <is>
          <t>BD Cloud SQL 1 vCPU / 3,75 GB con HA</t>
        </is>
      </c>
      <c r="D54" s="7" t="n">
        <v>98.623</v>
      </c>
      <c r="E54" s="15">
        <f>D54*usd</f>
        <v/>
      </c>
    </row>
    <row r="55">
      <c r="A55" s="4" t="inlineStr">
        <is>
          <t>Google Cloud (southamerica-west1, Santiago)</t>
        </is>
      </c>
      <c r="B55" s="4" t="inlineStr">
        <is>
          <t>Medio</t>
        </is>
      </c>
      <c r="C55" s="4" t="inlineStr">
        <is>
          <t>Almacenamiento SSD 50 GB (HA)</t>
        </is>
      </c>
      <c r="D55" s="7" t="n">
        <v>17</v>
      </c>
      <c r="E55" s="15">
        <f>D55*usd</f>
        <v/>
      </c>
    </row>
    <row r="56">
      <c r="A56" s="4" t="inlineStr">
        <is>
          <t>Google Cloud (southamerica-west1, Santiago)</t>
        </is>
      </c>
      <c r="B56" s="4" t="inlineStr">
        <is>
          <t>Medio</t>
        </is>
      </c>
      <c r="C56" s="4" t="inlineStr">
        <is>
          <t>Respaldos + Cloud Storage 50 GB</t>
        </is>
      </c>
      <c r="D56" s="7" t="n">
        <v>1.3</v>
      </c>
      <c r="E56" s="15">
        <f>D56*usd</f>
        <v/>
      </c>
    </row>
    <row r="57">
      <c r="A57" s="4" t="inlineStr">
        <is>
          <t>Google Cloud (southamerica-west1, Santiago)</t>
        </is>
      </c>
      <c r="B57" s="4" t="inlineStr">
        <is>
          <t>Medio</t>
        </is>
      </c>
      <c r="C57" s="4" t="inlineStr">
        <is>
          <t>Correo transaccional (20.000/mes)</t>
        </is>
      </c>
      <c r="D57" s="7" t="n">
        <v>2</v>
      </c>
      <c r="E57" s="15">
        <f>D57*usd</f>
        <v/>
      </c>
    </row>
    <row r="58">
      <c r="A58" s="4" t="inlineStr">
        <is>
          <t>Google Cloud (southamerica-west1, Santiago)</t>
        </is>
      </c>
      <c r="B58" s="4" t="inlineStr">
        <is>
          <t>Medio</t>
        </is>
      </c>
      <c r="C58" s="4" t="inlineStr">
        <is>
          <t>Soporte Standard (mínimo)</t>
        </is>
      </c>
      <c r="D58" s="7" t="n">
        <v>29</v>
      </c>
      <c r="E58" s="15">
        <f>D58*usd</f>
        <v/>
      </c>
    </row>
    <row r="59">
      <c r="A59" s="18" t="inlineStr">
        <is>
          <t>Google Cloud (southamerica-west1, Santiago)</t>
        </is>
      </c>
      <c r="B59" s="18" t="inlineStr">
        <is>
          <t>Medio</t>
        </is>
      </c>
      <c r="C59" s="17" t="inlineStr">
        <is>
          <t>Total mensual (incluye dominio prorrateado)</t>
        </is>
      </c>
      <c r="D59" s="31">
        <f>SUM(D53:D58)</f>
        <v/>
      </c>
      <c r="E59" s="22">
        <f>SUM(E53:E58)+dominio/12</f>
        <v/>
      </c>
    </row>
    <row r="60">
      <c r="A60" s="4" t="inlineStr">
        <is>
          <t>Google Cloud (southamerica-west1, Santiago)</t>
        </is>
      </c>
      <c r="B60" s="4" t="inlineStr">
        <is>
          <t>Alto</t>
        </is>
      </c>
      <c r="C60" s="4" t="inlineStr">
        <is>
          <t>Cómputo 2× e2-medium</t>
        </is>
      </c>
      <c r="D60" s="7" t="n">
        <v>69.95999999999999</v>
      </c>
      <c r="E60" s="15">
        <f>D60*usd</f>
        <v/>
      </c>
    </row>
    <row r="61">
      <c r="A61" s="4" t="inlineStr">
        <is>
          <t>Google Cloud (southamerica-west1, Santiago)</t>
        </is>
      </c>
      <c r="B61" s="4" t="inlineStr">
        <is>
          <t>Alto</t>
        </is>
      </c>
      <c r="C61" s="4" t="inlineStr">
        <is>
          <t>BD Cloud SQL 2 vCPU / 7,5 GB con HA</t>
        </is>
      </c>
      <c r="D61" s="7" t="n">
        <v>197.246</v>
      </c>
      <c r="E61" s="15">
        <f>D61*usd</f>
        <v/>
      </c>
    </row>
    <row r="62">
      <c r="A62" s="4" t="inlineStr">
        <is>
          <t>Google Cloud (southamerica-west1, Santiago)</t>
        </is>
      </c>
      <c r="B62" s="4" t="inlineStr">
        <is>
          <t>Alto</t>
        </is>
      </c>
      <c r="C62" s="4" t="inlineStr">
        <is>
          <t>Almacenamiento SSD 100 GB (HA)</t>
        </is>
      </c>
      <c r="D62" s="7" t="n">
        <v>34</v>
      </c>
      <c r="E62" s="15">
        <f>D62*usd</f>
        <v/>
      </c>
    </row>
    <row r="63">
      <c r="A63" s="4" t="inlineStr">
        <is>
          <t>Google Cloud (southamerica-west1, Santiago)</t>
        </is>
      </c>
      <c r="B63" s="4" t="inlineStr">
        <is>
          <t>Alto</t>
        </is>
      </c>
      <c r="C63" s="4" t="inlineStr">
        <is>
          <t>Respaldos + Cloud Storage 200 GB</t>
        </is>
      </c>
      <c r="D63" s="7" t="n">
        <v>5.2</v>
      </c>
      <c r="E63" s="15">
        <f>D63*usd</f>
        <v/>
      </c>
    </row>
    <row r="64">
      <c r="A64" s="4" t="inlineStr">
        <is>
          <t>Google Cloud (southamerica-west1, Santiago)</t>
        </is>
      </c>
      <c r="B64" s="4" t="inlineStr">
        <is>
          <t>Alto</t>
        </is>
      </c>
      <c r="C64" s="4" t="inlineStr">
        <is>
          <t>Correo transaccional (60.000/mes)</t>
        </is>
      </c>
      <c r="D64" s="7" t="n">
        <v>6</v>
      </c>
      <c r="E64" s="15">
        <f>D64*usd</f>
        <v/>
      </c>
    </row>
    <row r="65">
      <c r="A65" s="4" t="inlineStr">
        <is>
          <t>Google Cloud (southamerica-west1, Santiago)</t>
        </is>
      </c>
      <c r="B65" s="4" t="inlineStr">
        <is>
          <t>Alto</t>
        </is>
      </c>
      <c r="C65" s="4" t="inlineStr">
        <is>
          <t>Soporte Standard (mínimo)</t>
        </is>
      </c>
      <c r="D65" s="7" t="n">
        <v>29</v>
      </c>
      <c r="E65" s="15">
        <f>D65*usd</f>
        <v/>
      </c>
    </row>
    <row r="66">
      <c r="A66" s="18" t="inlineStr">
        <is>
          <t>Google Cloud (southamerica-west1, Santiago)</t>
        </is>
      </c>
      <c r="B66" s="18" t="inlineStr">
        <is>
          <t>Alto</t>
        </is>
      </c>
      <c r="C66" s="17" t="inlineStr">
        <is>
          <t>Total mensual (incluye dominio prorrateado)</t>
        </is>
      </c>
      <c r="D66" s="31">
        <f>SUM(D60:D65)</f>
        <v/>
      </c>
      <c r="E66" s="22">
        <f>SUM(E60:E65)+dominio/12</f>
        <v/>
      </c>
    </row>
    <row r="67">
      <c r="A67" s="4" t="inlineStr">
        <is>
          <t>VPS en Chile (V2Networks, Santiago)</t>
        </is>
      </c>
      <c r="B67" s="4" t="inlineStr">
        <is>
          <t>Bajo</t>
        </is>
      </c>
      <c r="C67" s="4" t="inlineStr">
        <is>
          <t>VPS Cloud-1 (2 vCPU, 4 GB, 25 GB NVMe) — API + BD + respaldo semanal</t>
        </is>
      </c>
      <c r="D67" s="4" t="inlineStr">
        <is>
          <t>—</t>
        </is>
      </c>
      <c r="E67" s="8" t="n">
        <v>19900</v>
      </c>
    </row>
    <row r="68">
      <c r="A68" s="18" t="inlineStr">
        <is>
          <t>VPS en Chile (V2Networks, Santiago)</t>
        </is>
      </c>
      <c r="B68" s="18" t="inlineStr">
        <is>
          <t>Bajo</t>
        </is>
      </c>
      <c r="C68" s="17" t="inlineStr">
        <is>
          <t>Total mensual (incluye dominio prorrateado)</t>
        </is>
      </c>
      <c r="D68" s="18" t="inlineStr">
        <is>
          <t>—</t>
        </is>
      </c>
      <c r="E68" s="22">
        <f>SUM(E67:E67)+dominio/12</f>
        <v/>
      </c>
    </row>
    <row r="69">
      <c r="A69" s="4" t="inlineStr">
        <is>
          <t>VPS en Chile (V2Networks, Santiago)</t>
        </is>
      </c>
      <c r="B69" s="4" t="inlineStr">
        <is>
          <t>Medio</t>
        </is>
      </c>
      <c r="C69" s="4" t="inlineStr">
        <is>
          <t>VPS Cloud-2 (2 vCPU, 8 GB, 50 GB) — API/web</t>
        </is>
      </c>
      <c r="D69" s="4" t="inlineStr">
        <is>
          <t>—</t>
        </is>
      </c>
      <c r="E69" s="8" t="n">
        <v>24900</v>
      </c>
    </row>
    <row r="70">
      <c r="A70" s="4" t="inlineStr">
        <is>
          <t>VPS en Chile (V2Networks, Santiago)</t>
        </is>
      </c>
      <c r="B70" s="4" t="inlineStr">
        <is>
          <t>Medio</t>
        </is>
      </c>
      <c r="C70" s="4" t="inlineStr">
        <is>
          <t>VPS Cloud-1 — BD PostgreSQL dedicada</t>
        </is>
      </c>
      <c r="D70" s="4" t="inlineStr">
        <is>
          <t>—</t>
        </is>
      </c>
      <c r="E70" s="8" t="n">
        <v>19900</v>
      </c>
    </row>
    <row r="71">
      <c r="A71" s="18" t="inlineStr">
        <is>
          <t>VPS en Chile (V2Networks, Santiago)</t>
        </is>
      </c>
      <c r="B71" s="18" t="inlineStr">
        <is>
          <t>Medio</t>
        </is>
      </c>
      <c r="C71" s="17" t="inlineStr">
        <is>
          <t>Total mensual (incluye dominio prorrateado)</t>
        </is>
      </c>
      <c r="D71" s="18" t="inlineStr">
        <is>
          <t>—</t>
        </is>
      </c>
      <c r="E71" s="22">
        <f>SUM(E69:E70)+dominio/12</f>
        <v/>
      </c>
    </row>
    <row r="72">
      <c r="A72" s="4" t="inlineStr">
        <is>
          <t>VPS en Chile (V2Networks, Santiago)</t>
        </is>
      </c>
      <c r="B72" s="4" t="inlineStr">
        <is>
          <t>Alto</t>
        </is>
      </c>
      <c r="C72" s="4" t="inlineStr">
        <is>
          <t>2× VPS Cloud-3 (4 vCPU, 12 GB) — API/web</t>
        </is>
      </c>
      <c r="D72" s="4" t="inlineStr">
        <is>
          <t>—</t>
        </is>
      </c>
      <c r="E72" s="8" t="n">
        <v>59800</v>
      </c>
    </row>
    <row r="73">
      <c r="A73" s="4" t="inlineStr">
        <is>
          <t>VPS en Chile (V2Networks, Santiago)</t>
        </is>
      </c>
      <c r="B73" s="4" t="inlineStr">
        <is>
          <t>Alto</t>
        </is>
      </c>
      <c r="C73" s="4" t="inlineStr">
        <is>
          <t>VPS Cloud-2 — BD PostgreSQL</t>
        </is>
      </c>
      <c r="D73" s="4" t="inlineStr">
        <is>
          <t>—</t>
        </is>
      </c>
      <c r="E73" s="8" t="n">
        <v>24900</v>
      </c>
    </row>
    <row r="74">
      <c r="A74" s="18" t="inlineStr">
        <is>
          <t>VPS en Chile (V2Networks, Santiago)</t>
        </is>
      </c>
      <c r="B74" s="18" t="inlineStr">
        <is>
          <t>Alto</t>
        </is>
      </c>
      <c r="C74" s="17" t="inlineStr">
        <is>
          <t>Total mensual (incluye dominio prorrateado)</t>
        </is>
      </c>
      <c r="D74" s="18" t="inlineStr">
        <is>
          <t>—</t>
        </is>
      </c>
      <c r="E74" s="22">
        <f>SUM(E72:E73)+dominio/12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Resumen comparativo (CLP)</t>
        </is>
      </c>
    </row>
    <row r="3">
      <c r="A3" s="3" t="inlineStr">
        <is>
          <t>Proveedor</t>
        </is>
      </c>
      <c r="B3" s="3" t="inlineStr">
        <is>
          <t>Bajo/mes</t>
        </is>
      </c>
      <c r="C3" s="3" t="inlineStr">
        <is>
          <t>Bajo/año</t>
        </is>
      </c>
      <c r="D3" s="3" t="inlineStr">
        <is>
          <t>Medio/mes</t>
        </is>
      </c>
      <c r="E3" s="3" t="inlineStr">
        <is>
          <t>Medio/año</t>
        </is>
      </c>
      <c r="F3" s="3" t="inlineStr">
        <is>
          <t>Alto/mes</t>
        </is>
      </c>
      <c r="G3" s="3" t="inlineStr">
        <is>
          <t>Alto/año</t>
        </is>
      </c>
    </row>
    <row r="4">
      <c r="A4" s="4" t="inlineStr">
        <is>
          <t>AWS (sa-east-1 São Paulo)</t>
        </is>
      </c>
      <c r="B4" s="15">
        <f>Costos_Cloud!E10</f>
        <v/>
      </c>
      <c r="C4" s="15">
        <f>Costos_Cloud!E10*12</f>
        <v/>
      </c>
      <c r="D4" s="15">
        <f>Costos_Cloud!E17</f>
        <v/>
      </c>
      <c r="E4" s="15">
        <f>Costos_Cloud!E17*12</f>
        <v/>
      </c>
      <c r="F4" s="15">
        <f>Costos_Cloud!E24</f>
        <v/>
      </c>
      <c r="G4" s="15">
        <f>Costos_Cloud!E24*12</f>
        <v/>
      </c>
    </row>
    <row r="5">
      <c r="A5" s="4" t="inlineStr">
        <is>
          <t>Microsoft Azure (Chile Central, Santiago)</t>
        </is>
      </c>
      <c r="B5" s="15">
        <f>Costos_Cloud!E31</f>
        <v/>
      </c>
      <c r="C5" s="15">
        <f>Costos_Cloud!E31*12</f>
        <v/>
      </c>
      <c r="D5" s="15">
        <f>Costos_Cloud!E38</f>
        <v/>
      </c>
      <c r="E5" s="15">
        <f>Costos_Cloud!E38*12</f>
        <v/>
      </c>
      <c r="F5" s="15">
        <f>Costos_Cloud!E45</f>
        <v/>
      </c>
      <c r="G5" s="15">
        <f>Costos_Cloud!E45*12</f>
        <v/>
      </c>
    </row>
    <row r="6">
      <c r="A6" s="4" t="inlineStr">
        <is>
          <t>Google Cloud (southamerica-west1, Santiago)</t>
        </is>
      </c>
      <c r="B6" s="15">
        <f>Costos_Cloud!E52</f>
        <v/>
      </c>
      <c r="C6" s="15">
        <f>Costos_Cloud!E52*12</f>
        <v/>
      </c>
      <c r="D6" s="15">
        <f>Costos_Cloud!E59</f>
        <v/>
      </c>
      <c r="E6" s="15">
        <f>Costos_Cloud!E59*12</f>
        <v/>
      </c>
      <c r="F6" s="15">
        <f>Costos_Cloud!E66</f>
        <v/>
      </c>
      <c r="G6" s="15">
        <f>Costos_Cloud!E66*12</f>
        <v/>
      </c>
    </row>
    <row r="7">
      <c r="A7" s="4" t="inlineStr">
        <is>
          <t>VPS en Chile (V2Networks, Santiago)</t>
        </is>
      </c>
      <c r="B7" s="15">
        <f>Costos_Cloud!E68</f>
        <v/>
      </c>
      <c r="C7" s="15">
        <f>Costos_Cloud!E68*12</f>
        <v/>
      </c>
      <c r="D7" s="15">
        <f>Costos_Cloud!E71</f>
        <v/>
      </c>
      <c r="E7" s="15">
        <f>Costos_Cloud!E71*12</f>
        <v/>
      </c>
      <c r="F7" s="15">
        <f>Costos_Cloud!E74</f>
        <v/>
      </c>
      <c r="G7" s="15">
        <f>Costos_Cloud!E74*12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Referencias (APA 7.ª edición)</t>
        </is>
      </c>
    </row>
    <row r="3">
      <c r="A3" s="32" t="inlineStr">
        <is>
          <t>Amazon Web Services [AWS]. (2026). AWS Price List: Amazon EC2, Amazon RDS for PostgreSQL y Amazon S3, región South America (São Paulo) [Conjunto de datos]. Recuperado el 6 de octubre de 2026, de https://b0.p.awsstatic.com/pricing/2.0/meteredUnitMaps/</t>
        </is>
      </c>
    </row>
    <row r="4">
      <c r="A4" s="32" t="inlineStr">
        <is>
          <t>Amazon. (2025, 7 de mayo). Amazon to invest more than $4 billion to launch infrastructure region in Chile [Comunicado de prensa]. Business Wire. https://www.businesswire.com/news/home/20250507585471/en/</t>
        </is>
      </c>
    </row>
    <row r="5">
      <c r="A5" s="32" t="inlineStr">
        <is>
          <t>Bytebase. (2026). Google Cloud SQL pricing: every machine type, Enterprise &amp; Enterprise Plus. Recuperado el 6 de octubre de 2026, de https://www.bytebase.com/dbcost/cloudsql-pricing/</t>
        </is>
      </c>
    </row>
    <row r="6">
      <c r="A6" s="32" t="inlineStr">
        <is>
          <t>Carey Abogados. (2026). Gobierno ingresa proyecto de ley que posterga en un año entrada en vigor de la Ley 21.719 sobre Protección de Datos Personales y fortalece la institucionalidad de la Agencia de Protección de Datos Personales. https://www.carey.cl/gobierno-ingresa-proyecto-de-ley-que-posterga-en-un-ano-entrada-en-vigor-de-la-ley-sobre-proteccion-de-datos-personales</t>
        </is>
      </c>
    </row>
    <row r="7">
      <c r="A7" s="32" t="inlineStr">
        <is>
          <t>DAMA International. (2017). DAMA-DMBOK: Data management body of knowledge (2.ª ed.). Technics Publications.</t>
        </is>
      </c>
    </row>
    <row r="8">
      <c r="A8" s="32" t="inlineStr">
        <is>
          <t>Digitalízame. (2026). Comisiones de Transbank, Mercado Pago y Flow en Chile (2026). https://digitalizame.cl/comisiones-pasarelas-de-pago-chile/</t>
        </is>
      </c>
    </row>
    <row r="9">
      <c r="A9" s="32" t="inlineStr">
        <is>
          <t>gcloud-compute.com. (2026). e2-small: Google Compute Engine machine type pricing. Recuperado el 6 de octubre de 2026, de https://gcloud-compute.com/e2-small.html</t>
        </is>
      </c>
    </row>
    <row r="10">
      <c r="A10" s="32" t="inlineStr">
        <is>
          <t>Google Cloud. (2026). Standard Support. Recuperado el 6 de octubre de 2026, de https://cloud.google.com/support/standard</t>
        </is>
      </c>
    </row>
    <row r="11">
      <c r="A11" s="32" t="inlineStr">
        <is>
          <t>IEEE. (1998). IEEE recommended practice for software requirements specifications (IEEE Std 830-1998). https://doi.org/10.1109/IEEESTD.1998.88286</t>
        </is>
      </c>
    </row>
    <row r="12">
      <c r="A12" s="32" t="inlineStr">
        <is>
          <t>Indeed. (2026). Sueldo de desarrollador/a junior en Chile. Recuperado el 6 de octubre de 2026, de https://cl.indeed.com/career/desarrollador-junior/salaries</t>
        </is>
      </c>
    </row>
    <row r="13">
      <c r="A13" s="32" t="inlineStr">
        <is>
          <t>International Organization for Standardization &amp; International Electrotechnical Commission [ISO/IEC]. (2011). Systems and software engineering — Systems and software Quality Requirements and Evaluation (SQuaRE) — System and software quality models (ISO/IEC 25010:2011).</t>
        </is>
      </c>
    </row>
    <row r="14">
      <c r="A14" s="32" t="inlineStr">
        <is>
          <t>Kruchten, P. B. (1995). The 4+1 view model of architecture. IEEE Software, 12(6), 42–50. https://doi.org/10.1109/52.469759</t>
        </is>
      </c>
    </row>
    <row r="15">
      <c r="A15" s="32" t="inlineStr">
        <is>
          <t>Ley N° 19.496. (1997, 7 de marzo). Establece normas sobre protección de los derechos de los consumidores. Diario Oficial de la República de Chile. https://www.bcn.cl/leychile/navegar?idNorma=61438</t>
        </is>
      </c>
    </row>
    <row r="16">
      <c r="A16" s="32" t="inlineStr">
        <is>
          <t>Ley N° 19.628. (1999, 28 de agosto). Sobre protección de la vida privada. Diario Oficial de la República de Chile. https://www.bcn.cl/leychile/navegar?idNorma=141599</t>
        </is>
      </c>
    </row>
    <row r="17">
      <c r="A17" s="32" t="inlineStr">
        <is>
          <t>Ley N° 21.719. (2024, 13 de diciembre). Regula la protección y el tratamiento de los datos personales y crea la Agencia de Protección de Datos Personales. Diario Oficial de la República de Chile. https://www.bcn.cl/leychile/navegar?idNorma=1209272</t>
        </is>
      </c>
    </row>
    <row r="18">
      <c r="A18" s="32" t="inlineStr">
        <is>
          <t>Mailblast. (2026). Amazon SES pricing 2026: $0.10/1,000 emails plus 4 hidden costs. https://www.mailblast.io/blog/ses/amazon-ses-pricing</t>
        </is>
      </c>
    </row>
    <row r="19">
      <c r="A19" s="32" t="inlineStr">
        <is>
          <t>Microsoft. (2026a). Azure Retail Prices API: región Chile Central [Conjunto de datos]. Recuperado el 6 de octubre de 2026, de https://prices.azure.com/api/retail/prices</t>
        </is>
      </c>
    </row>
    <row r="20">
      <c r="A20" s="32" t="inlineStr">
        <is>
          <t>Microsoft. (2026b). Azure support plans comparison. Recuperado el 6 de octubre de 2026, de https://azure.microsoft.com/en-us/support/plans/</t>
        </is>
      </c>
    </row>
    <row r="21">
      <c r="A21" s="32" t="inlineStr">
        <is>
          <t>NIC Chile. (2026). Tarifas vigentes para .CL. Recuperado el 6 de octubre de 2026, de https://nic.cl/dominios/tarifas.html</t>
        </is>
      </c>
    </row>
    <row r="22">
      <c r="A22" s="32" t="inlineStr">
        <is>
          <t>Object Management Group [OMG]. (2017). OMG Unified Modeling Language (versión 2.5.1). https://www.omg.org/spec/UML/2.5.1/</t>
        </is>
      </c>
    </row>
    <row r="23">
      <c r="A23" s="32" t="inlineStr">
        <is>
          <t>OWASP Foundation. (2021). OWASP Top 10:2021. https://owasp.org/Top10/</t>
        </is>
      </c>
    </row>
    <row r="24">
      <c r="A24" s="32" t="inlineStr">
        <is>
          <t>Pauta. (2026, 6 de octubre). Valor UF hoy martes 6 de octubre: revisa su precio en Chile. https://www.pauta.cl/dato-en-pauta/2026/10/06/valor-de-la-uf-hoy-martes-6-de-octubre-revisa-el-precio-de-la-unidad-de-fomento.html</t>
        </is>
      </c>
    </row>
    <row r="25">
      <c r="A25" s="32" t="inlineStr">
        <is>
          <t>PCI Security Standards Council. (2022). Payment Card Industry Data Security Standard (versión 4.0). https://www.pcisecuritystandards.org/</t>
        </is>
      </c>
    </row>
    <row r="26">
      <c r="A26" s="32" t="inlineStr">
        <is>
          <t>PostgreSQL Global Development Group. (2026). PostgreSQL documentation: Constraints. https://www.postgresql.org/docs/current/ddl-constraints.html</t>
        </is>
      </c>
    </row>
    <row r="27">
      <c r="A27" s="32" t="inlineStr">
        <is>
          <t>Project Management Institute [PMI]. (2021). A guide to the project management body of knowledge (PMBOK® guide) (7.ª ed.). Project Management Institute.</t>
        </is>
      </c>
    </row>
    <row r="28">
      <c r="A28" s="32" t="inlineStr">
        <is>
          <t>Servicio de Impuestos Internos [SII]. (2026a). Unidad Tributaria Mensual (UTM) 2026. Recuperado el 6 de octubre de 2026, de https://www.sii.cl/valores_y_fechas/utm/utm2026.htm</t>
        </is>
      </c>
    </row>
    <row r="29">
      <c r="A29" s="32" t="inlineStr">
        <is>
          <t>Servicio de Impuestos Internos [SII]. (2026b). Dólar observado 2026. Recuperado el 6 de octubre de 2026, de https://www.sii.cl/valores_y_fechas/dolar/dolar2026.htm</t>
        </is>
      </c>
    </row>
    <row r="30">
      <c r="A30" s="32" t="inlineStr">
        <is>
          <t>Transbank. (2026). ¿Cuánto cobra Webpay por vender por internet? Centro de ayuda. Recuperado el 6 de octubre de 2026, de https://ayuda.transbank.cl/tarifas-vender-webpay</t>
        </is>
      </c>
    </row>
    <row r="31">
      <c r="A31" s="32" t="inlineStr">
        <is>
          <t>V2Networks. (2026). VPS Chile, servidores rápidos con respaldo incluido. Recuperado el 6 de octubre de 2026, de https://v2networks.cl/vps/</t>
        </is>
      </c>
    </row>
    <row r="32">
      <c r="A32" s="32" t="inlineStr">
        <is>
          <t>World Wide Web Consortium [W3C]. (2018). Web Content Accessibility Guidelines (WCAG) 2.1. https://www.w3.org/TR/WCAG21/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2026-10-09T16:24:41Z</dcterms:created>
  <dcterms:modified xmlns:dcterms="http://purl.org/dc/terms/" xmlns:xsi="http://www.w3.org/2001/XMLSchema-instance" xsi:type="dcterms:W3CDTF">2026-10-09T16:24:41Z</dcterms:modified>
</cp:coreProperties>
</file>